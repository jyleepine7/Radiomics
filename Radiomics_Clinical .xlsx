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yoonlee/Documents/New project/"/>
    </mc:Choice>
  </mc:AlternateContent>
  <xr:revisionPtr revIDLastSave="0" documentId="8_{5340542F-C85C-994A-8E57-4D476F62E812}" xr6:coauthVersionLast="47" xr6:coauthVersionMax="47" xr10:uidLastSave="{00000000-0000-0000-0000-000000000000}"/>
  <bookViews>
    <workbookView xWindow="0" yWindow="780" windowWidth="34200" windowHeight="20460" activeTab="1" xr2:uid="{D0CCEB32-9399-48E7-A9E3-BB1FE73E6FF1}"/>
  </bookViews>
  <sheets>
    <sheet name="Radiomics" sheetId="1" r:id="rId1"/>
    <sheet name="Clin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5" i="2" l="1"/>
  <c r="CJ104" i="2"/>
  <c r="CI104" i="2"/>
  <c r="CG104" i="2"/>
  <c r="CF104" i="2"/>
  <c r="CC104" i="2"/>
  <c r="CB104" i="2"/>
  <c r="BP104" i="2"/>
  <c r="Y104" i="2"/>
  <c r="G104" i="2"/>
  <c r="CJ103" i="2"/>
  <c r="CI103" i="2"/>
  <c r="CG103" i="2"/>
  <c r="CF103" i="2"/>
  <c r="CC103" i="2"/>
  <c r="CB103" i="2"/>
  <c r="BP103" i="2"/>
  <c r="Y103" i="2"/>
  <c r="G103" i="2"/>
  <c r="CJ102" i="2"/>
  <c r="CI102" i="2"/>
  <c r="CG102" i="2"/>
  <c r="CF102" i="2"/>
  <c r="CC102" i="2"/>
  <c r="CB102" i="2"/>
  <c r="BU102" i="2"/>
  <c r="BT102" i="2"/>
  <c r="BP102" i="2"/>
  <c r="Y102" i="2"/>
  <c r="G102" i="2"/>
  <c r="CJ101" i="2"/>
  <c r="CI101" i="2"/>
  <c r="CG101" i="2"/>
  <c r="CF101" i="2"/>
  <c r="CC101" i="2"/>
  <c r="CB101" i="2"/>
  <c r="BP101" i="2"/>
  <c r="Y101" i="2"/>
  <c r="G101" i="2"/>
  <c r="CJ100" i="2"/>
  <c r="CI100" i="2"/>
  <c r="CG100" i="2"/>
  <c r="CF100" i="2"/>
  <c r="CC100" i="2"/>
  <c r="CB100" i="2"/>
  <c r="BP100" i="2"/>
  <c r="Y100" i="2"/>
  <c r="G100" i="2"/>
  <c r="CJ99" i="2"/>
  <c r="CI99" i="2"/>
  <c r="CG99" i="2"/>
  <c r="CF99" i="2"/>
  <c r="CC99" i="2"/>
  <c r="CB99" i="2"/>
  <c r="BP99" i="2"/>
  <c r="Y99" i="2"/>
  <c r="G99" i="2"/>
  <c r="CJ98" i="2"/>
  <c r="CI98" i="2"/>
  <c r="CG98" i="2"/>
  <c r="CF98" i="2"/>
  <c r="CC98" i="2"/>
  <c r="CB98" i="2"/>
  <c r="BP98" i="2"/>
  <c r="Y98" i="2"/>
  <c r="G98" i="2"/>
  <c r="CJ97" i="2"/>
  <c r="CI97" i="2"/>
  <c r="CG97" i="2"/>
  <c r="CF97" i="2"/>
  <c r="CC97" i="2"/>
  <c r="CB97" i="2"/>
  <c r="BP97" i="2"/>
  <c r="Y97" i="2"/>
  <c r="G97" i="2"/>
  <c r="CJ96" i="2"/>
  <c r="CI96" i="2"/>
  <c r="CG96" i="2"/>
  <c r="CF96" i="2"/>
  <c r="CC96" i="2"/>
  <c r="CB96" i="2"/>
  <c r="BU96" i="2"/>
  <c r="BT96" i="2"/>
  <c r="BP96" i="2"/>
  <c r="Y96" i="2"/>
  <c r="G96" i="2"/>
  <c r="CJ95" i="2"/>
  <c r="CI95" i="2"/>
  <c r="CG95" i="2"/>
  <c r="CF95" i="2"/>
  <c r="CC95" i="2"/>
  <c r="CB95" i="2"/>
  <c r="BP95" i="2"/>
  <c r="Y95" i="2"/>
  <c r="G95" i="2"/>
  <c r="CJ94" i="2"/>
  <c r="CI94" i="2"/>
  <c r="CG94" i="2"/>
  <c r="CF94" i="2"/>
  <c r="CC94" i="2"/>
  <c r="CB94" i="2"/>
  <c r="BP94" i="2"/>
  <c r="Y94" i="2"/>
  <c r="G94" i="2"/>
  <c r="CJ93" i="2"/>
  <c r="CI93" i="2"/>
  <c r="CG93" i="2"/>
  <c r="CF93" i="2"/>
  <c r="CC93" i="2"/>
  <c r="CB93" i="2"/>
  <c r="BP93" i="2"/>
  <c r="Y93" i="2"/>
  <c r="G93" i="2"/>
  <c r="CJ92" i="2"/>
  <c r="CI92" i="2"/>
  <c r="CG92" i="2"/>
  <c r="CF92" i="2"/>
  <c r="CC92" i="2"/>
  <c r="CB92" i="2"/>
  <c r="BP92" i="2"/>
  <c r="Y92" i="2"/>
  <c r="G92" i="2"/>
  <c r="CJ91" i="2"/>
  <c r="CI91" i="2"/>
  <c r="CG91" i="2"/>
  <c r="CF91" i="2"/>
  <c r="CC91" i="2"/>
  <c r="CB91" i="2"/>
  <c r="BP91" i="2"/>
  <c r="Y91" i="2"/>
  <c r="G91" i="2"/>
  <c r="CJ90" i="2"/>
  <c r="CI90" i="2"/>
  <c r="CG90" i="2"/>
  <c r="CF90" i="2"/>
  <c r="CC90" i="2"/>
  <c r="CB90" i="2"/>
  <c r="BP90" i="2"/>
  <c r="Y90" i="2"/>
  <c r="G90" i="2"/>
  <c r="CJ89" i="2"/>
  <c r="CI89" i="2"/>
  <c r="CG89" i="2"/>
  <c r="CF89" i="2"/>
  <c r="CC89" i="2"/>
  <c r="CB89" i="2"/>
  <c r="BU89" i="2"/>
  <c r="BT89" i="2"/>
  <c r="BP89" i="2"/>
  <c r="Y89" i="2"/>
  <c r="G89" i="2"/>
  <c r="CJ88" i="2"/>
  <c r="CI88" i="2"/>
  <c r="CG88" i="2"/>
  <c r="CF88" i="2"/>
  <c r="CC88" i="2"/>
  <c r="CB88" i="2"/>
  <c r="BP88" i="2"/>
  <c r="Y88" i="2"/>
  <c r="G88" i="2"/>
  <c r="CJ87" i="2"/>
  <c r="CI87" i="2"/>
  <c r="CG87" i="2"/>
  <c r="CF87" i="2"/>
  <c r="CC87" i="2"/>
  <c r="CB87" i="2"/>
  <c r="BP87" i="2"/>
  <c r="Y87" i="2"/>
  <c r="G87" i="2"/>
  <c r="CJ86" i="2"/>
  <c r="CI86" i="2"/>
  <c r="CG86" i="2"/>
  <c r="CF86" i="2"/>
  <c r="CC86" i="2"/>
  <c r="CB86" i="2"/>
  <c r="BP86" i="2"/>
  <c r="Y86" i="2"/>
  <c r="G86" i="2"/>
  <c r="CJ85" i="2"/>
  <c r="CI85" i="2"/>
  <c r="CG85" i="2"/>
  <c r="CF85" i="2"/>
  <c r="CC85" i="2"/>
  <c r="CB85" i="2"/>
  <c r="BU85" i="2"/>
  <c r="BT85" i="2"/>
  <c r="BP85" i="2"/>
  <c r="Y85" i="2"/>
  <c r="G85" i="2"/>
  <c r="CJ84" i="2"/>
  <c r="CI84" i="2"/>
  <c r="CG84" i="2"/>
  <c r="CF84" i="2"/>
  <c r="CC84" i="2"/>
  <c r="CB84" i="2"/>
  <c r="BP84" i="2"/>
  <c r="Y84" i="2"/>
  <c r="G84" i="2"/>
  <c r="CJ83" i="2"/>
  <c r="CI83" i="2"/>
  <c r="CG83" i="2"/>
  <c r="CF83" i="2"/>
  <c r="CC83" i="2"/>
  <c r="CB83" i="2"/>
  <c r="BU83" i="2"/>
  <c r="BT83" i="2"/>
  <c r="BP83" i="2"/>
  <c r="Y83" i="2"/>
  <c r="G83" i="2"/>
  <c r="CJ82" i="2"/>
  <c r="CI82" i="2"/>
  <c r="CG82" i="2"/>
  <c r="CF82" i="2"/>
  <c r="CC82" i="2"/>
  <c r="CB82" i="2"/>
  <c r="BP82" i="2"/>
  <c r="Y82" i="2"/>
  <c r="G82" i="2"/>
  <c r="CJ81" i="2"/>
  <c r="CI81" i="2"/>
  <c r="CG81" i="2"/>
  <c r="CF81" i="2"/>
  <c r="CC81" i="2"/>
  <c r="CB81" i="2"/>
  <c r="BP81" i="2"/>
  <c r="Y81" i="2"/>
  <c r="G81" i="2"/>
  <c r="CJ80" i="2"/>
  <c r="CI80" i="2"/>
  <c r="CG80" i="2"/>
  <c r="CF80" i="2"/>
  <c r="CC80" i="2"/>
  <c r="CB80" i="2"/>
  <c r="BP80" i="2"/>
  <c r="Y80" i="2"/>
  <c r="G80" i="2"/>
  <c r="CJ79" i="2"/>
  <c r="CI79" i="2"/>
  <c r="CG79" i="2"/>
  <c r="CF79" i="2"/>
  <c r="CC79" i="2"/>
  <c r="CB79" i="2"/>
  <c r="BP79" i="2"/>
  <c r="Y79" i="2"/>
  <c r="G79" i="2"/>
  <c r="CJ78" i="2"/>
  <c r="CI78" i="2"/>
  <c r="CG78" i="2"/>
  <c r="CF78" i="2"/>
  <c r="CC78" i="2"/>
  <c r="CB78" i="2"/>
  <c r="BP78" i="2"/>
  <c r="Y78" i="2"/>
  <c r="G78" i="2"/>
  <c r="CJ77" i="2"/>
  <c r="CI77" i="2"/>
  <c r="CG77" i="2"/>
  <c r="CF77" i="2"/>
  <c r="CC77" i="2"/>
  <c r="CB77" i="2"/>
  <c r="BP77" i="2"/>
  <c r="Y77" i="2"/>
  <c r="G77" i="2"/>
  <c r="CJ76" i="2"/>
  <c r="CI76" i="2"/>
  <c r="CG76" i="2"/>
  <c r="CF76" i="2"/>
  <c r="CC76" i="2"/>
  <c r="CB76" i="2"/>
  <c r="BP76" i="2"/>
  <c r="Y76" i="2"/>
  <c r="G76" i="2"/>
  <c r="CJ75" i="2"/>
  <c r="CI75" i="2"/>
  <c r="CG75" i="2"/>
  <c r="CF75" i="2"/>
  <c r="CC75" i="2"/>
  <c r="CB75" i="2"/>
  <c r="BP75" i="2"/>
  <c r="Y75" i="2"/>
  <c r="G75" i="2"/>
  <c r="CJ74" i="2"/>
  <c r="CI74" i="2"/>
  <c r="CG74" i="2"/>
  <c r="CF74" i="2"/>
  <c r="CC74" i="2"/>
  <c r="CB74" i="2"/>
  <c r="BP74" i="2"/>
  <c r="Y74" i="2"/>
  <c r="G74" i="2"/>
  <c r="CJ73" i="2"/>
  <c r="CI73" i="2"/>
  <c r="CG73" i="2"/>
  <c r="CF73" i="2"/>
  <c r="CC73" i="2"/>
  <c r="CB73" i="2"/>
  <c r="BP73" i="2"/>
  <c r="Y73" i="2"/>
  <c r="G73" i="2"/>
  <c r="CJ72" i="2"/>
  <c r="CI72" i="2"/>
  <c r="CG72" i="2"/>
  <c r="CF72" i="2"/>
  <c r="CC72" i="2"/>
  <c r="CB72" i="2"/>
  <c r="BU72" i="2"/>
  <c r="BT72" i="2"/>
  <c r="BP72" i="2"/>
  <c r="Y72" i="2"/>
  <c r="G72" i="2"/>
  <c r="CJ71" i="2"/>
  <c r="CI71" i="2"/>
  <c r="CG71" i="2"/>
  <c r="CF71" i="2"/>
  <c r="CC71" i="2"/>
  <c r="CB71" i="2"/>
  <c r="BP71" i="2"/>
  <c r="Y71" i="2"/>
  <c r="G71" i="2"/>
  <c r="CJ70" i="2"/>
  <c r="CI70" i="2"/>
  <c r="CG70" i="2"/>
  <c r="CF70" i="2"/>
  <c r="CC70" i="2"/>
  <c r="CB70" i="2"/>
  <c r="BP70" i="2"/>
  <c r="Y70" i="2"/>
  <c r="G70" i="2"/>
  <c r="CJ69" i="2"/>
  <c r="CI69" i="2"/>
  <c r="CG69" i="2"/>
  <c r="CF69" i="2"/>
  <c r="CC69" i="2"/>
  <c r="CB69" i="2"/>
  <c r="BP69" i="2"/>
  <c r="Y69" i="2"/>
  <c r="G69" i="2"/>
  <c r="CJ68" i="2"/>
  <c r="CI68" i="2"/>
  <c r="CG68" i="2"/>
  <c r="CF68" i="2"/>
  <c r="CC68" i="2"/>
  <c r="CB68" i="2"/>
  <c r="BP68" i="2"/>
  <c r="Y68" i="2"/>
  <c r="G68" i="2"/>
  <c r="CJ67" i="2"/>
  <c r="CI67" i="2"/>
  <c r="CG67" i="2"/>
  <c r="CF67" i="2"/>
  <c r="CC67" i="2"/>
  <c r="CB67" i="2"/>
  <c r="BP67" i="2"/>
  <c r="Y67" i="2"/>
  <c r="G67" i="2"/>
  <c r="CJ66" i="2"/>
  <c r="CI66" i="2"/>
  <c r="CG66" i="2"/>
  <c r="CF66" i="2"/>
  <c r="CC66" i="2"/>
  <c r="CB66" i="2"/>
  <c r="BU66" i="2"/>
  <c r="BT66" i="2"/>
  <c r="BP66" i="2"/>
  <c r="Y66" i="2"/>
  <c r="G66" i="2"/>
  <c r="CJ65" i="2"/>
  <c r="CI65" i="2"/>
  <c r="CG65" i="2"/>
  <c r="CF65" i="2"/>
  <c r="CC65" i="2"/>
  <c r="CB65" i="2"/>
  <c r="BU65" i="2"/>
  <c r="BT65" i="2"/>
  <c r="BP65" i="2"/>
  <c r="Y65" i="2"/>
  <c r="G65" i="2"/>
  <c r="CJ64" i="2"/>
  <c r="CI64" i="2"/>
  <c r="CG64" i="2"/>
  <c r="CF64" i="2"/>
  <c r="CC64" i="2"/>
  <c r="CB64" i="2"/>
  <c r="BP64" i="2"/>
  <c r="Y64" i="2"/>
  <c r="G64" i="2"/>
  <c r="CJ63" i="2"/>
  <c r="CI63" i="2"/>
  <c r="CG63" i="2"/>
  <c r="CF63" i="2"/>
  <c r="CC63" i="2"/>
  <c r="CB63" i="2"/>
  <c r="BP63" i="2"/>
  <c r="Y63" i="2"/>
  <c r="G63" i="2"/>
  <c r="CJ62" i="2"/>
  <c r="CI62" i="2"/>
  <c r="CG62" i="2"/>
  <c r="CF62" i="2"/>
  <c r="CC62" i="2"/>
  <c r="CB62" i="2"/>
  <c r="BP62" i="2"/>
  <c r="Y62" i="2"/>
  <c r="G62" i="2"/>
  <c r="CJ61" i="2"/>
  <c r="CI61" i="2"/>
  <c r="CG61" i="2"/>
  <c r="CF61" i="2"/>
  <c r="CC61" i="2"/>
  <c r="CB61" i="2"/>
  <c r="BP61" i="2"/>
  <c r="Y61" i="2"/>
  <c r="G61" i="2"/>
  <c r="CJ60" i="2"/>
  <c r="CI60" i="2"/>
  <c r="CG60" i="2"/>
  <c r="CF60" i="2"/>
  <c r="CC60" i="2"/>
  <c r="CB60" i="2"/>
  <c r="BP60" i="2"/>
  <c r="Y60" i="2"/>
  <c r="G60" i="2"/>
  <c r="CJ59" i="2"/>
  <c r="CI59" i="2"/>
  <c r="CG59" i="2"/>
  <c r="CF59" i="2"/>
  <c r="CC59" i="2"/>
  <c r="CB59" i="2"/>
  <c r="BP59" i="2"/>
  <c r="Y59" i="2"/>
  <c r="G59" i="2"/>
  <c r="CJ58" i="2"/>
  <c r="CI58" i="2"/>
  <c r="CG58" i="2"/>
  <c r="CF58" i="2"/>
  <c r="CC58" i="2"/>
  <c r="CB58" i="2"/>
  <c r="BP58" i="2"/>
  <c r="Y58" i="2"/>
  <c r="G58" i="2"/>
  <c r="CJ57" i="2"/>
  <c r="CI57" i="2"/>
  <c r="CG57" i="2"/>
  <c r="CF57" i="2"/>
  <c r="CC57" i="2"/>
  <c r="CB57" i="2"/>
  <c r="BU57" i="2"/>
  <c r="BT57" i="2"/>
  <c r="BP57" i="2"/>
  <c r="Y57" i="2"/>
  <c r="G57" i="2"/>
  <c r="CJ56" i="2"/>
  <c r="CI56" i="2"/>
  <c r="CG56" i="2"/>
  <c r="CF56" i="2"/>
  <c r="CC56" i="2"/>
  <c r="CB56" i="2"/>
  <c r="BP56" i="2"/>
  <c r="Y56" i="2"/>
  <c r="G56" i="2"/>
  <c r="CJ55" i="2"/>
  <c r="CI55" i="2"/>
  <c r="CG55" i="2"/>
  <c r="CF55" i="2"/>
  <c r="CC55" i="2"/>
  <c r="CB55" i="2"/>
  <c r="BU55" i="2"/>
  <c r="BT55" i="2"/>
  <c r="BP55" i="2"/>
  <c r="Y55" i="2"/>
  <c r="G55" i="2"/>
  <c r="CJ54" i="2"/>
  <c r="CI54" i="2"/>
  <c r="CG54" i="2"/>
  <c r="CF54" i="2"/>
  <c r="CC54" i="2"/>
  <c r="CB54" i="2"/>
  <c r="BP54" i="2"/>
  <c r="Y54" i="2"/>
  <c r="G54" i="2"/>
  <c r="CJ53" i="2"/>
  <c r="CI53" i="2"/>
  <c r="CG53" i="2"/>
  <c r="CF53" i="2"/>
  <c r="CC53" i="2"/>
  <c r="CB53" i="2"/>
  <c r="BP53" i="2"/>
  <c r="Y53" i="2"/>
  <c r="G53" i="2"/>
  <c r="CJ52" i="2"/>
  <c r="CI52" i="2"/>
  <c r="CG52" i="2"/>
  <c r="CF52" i="2"/>
  <c r="CC52" i="2"/>
  <c r="CB52" i="2"/>
  <c r="BU52" i="2"/>
  <c r="BT52" i="2"/>
  <c r="BP52" i="2"/>
  <c r="Y52" i="2"/>
  <c r="G52" i="2"/>
  <c r="CJ51" i="2"/>
  <c r="CI51" i="2"/>
  <c r="CG51" i="2"/>
  <c r="CF51" i="2"/>
  <c r="CC51" i="2"/>
  <c r="CB51" i="2"/>
  <c r="BP51" i="2"/>
  <c r="Y51" i="2"/>
  <c r="G51" i="2"/>
  <c r="CJ50" i="2"/>
  <c r="CI50" i="2"/>
  <c r="CG50" i="2"/>
  <c r="CF50" i="2"/>
  <c r="CC50" i="2"/>
  <c r="CB50" i="2"/>
  <c r="BP50" i="2"/>
  <c r="Y50" i="2"/>
  <c r="G50" i="2"/>
  <c r="CJ49" i="2"/>
  <c r="CI49" i="2"/>
  <c r="CG49" i="2"/>
  <c r="CF49" i="2"/>
  <c r="CC49" i="2"/>
  <c r="CB49" i="2"/>
  <c r="BP49" i="2"/>
  <c r="Y49" i="2"/>
  <c r="G49" i="2"/>
  <c r="CJ48" i="2"/>
  <c r="CI48" i="2"/>
  <c r="CG48" i="2"/>
  <c r="CF48" i="2"/>
  <c r="CC48" i="2"/>
  <c r="CB48" i="2"/>
  <c r="BP48" i="2"/>
  <c r="Y48" i="2"/>
  <c r="G48" i="2"/>
  <c r="CJ47" i="2"/>
  <c r="CI47" i="2"/>
  <c r="CG47" i="2"/>
  <c r="CF47" i="2"/>
  <c r="CC47" i="2"/>
  <c r="CB47" i="2"/>
  <c r="BP47" i="2"/>
  <c r="Y47" i="2"/>
  <c r="G47" i="2"/>
  <c r="CJ46" i="2"/>
  <c r="CI46" i="2"/>
  <c r="CG46" i="2"/>
  <c r="CF46" i="2"/>
  <c r="CC46" i="2"/>
  <c r="CB46" i="2"/>
  <c r="BU46" i="2"/>
  <c r="BT46" i="2"/>
  <c r="BP46" i="2"/>
  <c r="Y46" i="2"/>
  <c r="G46" i="2"/>
  <c r="CJ45" i="2"/>
  <c r="CI45" i="2"/>
  <c r="CG45" i="2"/>
  <c r="CF45" i="2"/>
  <c r="CC45" i="2"/>
  <c r="CB45" i="2"/>
  <c r="BP45" i="2"/>
  <c r="Y45" i="2"/>
  <c r="G45" i="2"/>
  <c r="CJ44" i="2"/>
  <c r="CI44" i="2"/>
  <c r="CG44" i="2"/>
  <c r="CF44" i="2"/>
  <c r="CC44" i="2"/>
  <c r="CB44" i="2"/>
  <c r="BU44" i="2"/>
  <c r="BT44" i="2"/>
  <c r="BP44" i="2"/>
  <c r="Y44" i="2"/>
  <c r="G44" i="2"/>
  <c r="CJ43" i="2"/>
  <c r="CI43" i="2"/>
  <c r="CG43" i="2"/>
  <c r="CF43" i="2"/>
  <c r="CC43" i="2"/>
  <c r="CB43" i="2"/>
  <c r="BP43" i="2"/>
  <c r="Y43" i="2"/>
  <c r="G43" i="2"/>
  <c r="CJ42" i="2"/>
  <c r="CI42" i="2"/>
  <c r="CG42" i="2"/>
  <c r="CF42" i="2"/>
  <c r="CC42" i="2"/>
  <c r="CB42" i="2"/>
  <c r="BP42" i="2"/>
  <c r="Y42" i="2"/>
  <c r="G42" i="2"/>
  <c r="CJ41" i="2"/>
  <c r="CI41" i="2"/>
  <c r="CG41" i="2"/>
  <c r="CF41" i="2"/>
  <c r="CC41" i="2"/>
  <c r="CB41" i="2"/>
  <c r="BP41" i="2"/>
  <c r="Y41" i="2"/>
  <c r="G41" i="2"/>
  <c r="CJ40" i="2"/>
  <c r="CI40" i="2"/>
  <c r="CG40" i="2"/>
  <c r="CF40" i="2"/>
  <c r="CC40" i="2"/>
  <c r="CB40" i="2"/>
  <c r="BP40" i="2"/>
  <c r="Y40" i="2"/>
  <c r="G40" i="2"/>
  <c r="CJ39" i="2"/>
  <c r="CI39" i="2"/>
  <c r="CG39" i="2"/>
  <c r="CF39" i="2"/>
  <c r="CC39" i="2"/>
  <c r="CB39" i="2"/>
  <c r="BP39" i="2"/>
  <c r="Y39" i="2"/>
  <c r="G39" i="2"/>
  <c r="CJ38" i="2"/>
  <c r="CI38" i="2"/>
  <c r="CG38" i="2"/>
  <c r="CF38" i="2"/>
  <c r="CC38" i="2"/>
  <c r="CB38" i="2"/>
  <c r="BP38" i="2"/>
  <c r="Y38" i="2"/>
  <c r="G38" i="2"/>
  <c r="CJ37" i="2"/>
  <c r="CI37" i="2"/>
  <c r="CG37" i="2"/>
  <c r="CF37" i="2"/>
  <c r="CC37" i="2"/>
  <c r="CB37" i="2"/>
  <c r="BP37" i="2"/>
  <c r="Y37" i="2"/>
  <c r="G37" i="2"/>
  <c r="CJ36" i="2"/>
  <c r="CI36" i="2"/>
  <c r="CG36" i="2"/>
  <c r="CF36" i="2"/>
  <c r="CC36" i="2"/>
  <c r="CB36" i="2"/>
  <c r="BP36" i="2"/>
  <c r="Y36" i="2"/>
  <c r="G36" i="2"/>
  <c r="CJ35" i="2"/>
  <c r="CI35" i="2"/>
  <c r="CG35" i="2"/>
  <c r="CF35" i="2"/>
  <c r="CC35" i="2"/>
  <c r="CB35" i="2"/>
  <c r="BP35" i="2"/>
  <c r="Y35" i="2"/>
  <c r="G35" i="2"/>
  <c r="CJ34" i="2"/>
  <c r="CI34" i="2"/>
  <c r="CG34" i="2"/>
  <c r="CF34" i="2"/>
  <c r="CC34" i="2"/>
  <c r="CB34" i="2"/>
  <c r="BP34" i="2"/>
  <c r="Y34" i="2"/>
  <c r="G34" i="2"/>
  <c r="CJ33" i="2"/>
  <c r="CI33" i="2"/>
  <c r="CG33" i="2"/>
  <c r="CF33" i="2"/>
  <c r="CC33" i="2"/>
  <c r="CB33" i="2"/>
  <c r="BP33" i="2"/>
  <c r="Y33" i="2"/>
  <c r="G33" i="2"/>
  <c r="CJ32" i="2"/>
  <c r="CI32" i="2"/>
  <c r="CG32" i="2"/>
  <c r="CF32" i="2"/>
  <c r="CC32" i="2"/>
  <c r="CB32" i="2"/>
  <c r="BP32" i="2"/>
  <c r="Y32" i="2"/>
  <c r="G32" i="2"/>
  <c r="CJ31" i="2"/>
  <c r="CI31" i="2"/>
  <c r="CG31" i="2"/>
  <c r="CF31" i="2"/>
  <c r="CC31" i="2"/>
  <c r="CB31" i="2"/>
  <c r="BP31" i="2"/>
  <c r="Y31" i="2"/>
  <c r="G31" i="2"/>
  <c r="CJ30" i="2"/>
  <c r="CI30" i="2"/>
  <c r="CG30" i="2"/>
  <c r="CF30" i="2"/>
  <c r="CC30" i="2"/>
  <c r="CB30" i="2"/>
  <c r="BP30" i="2"/>
  <c r="Y30" i="2"/>
  <c r="G30" i="2"/>
  <c r="CJ29" i="2"/>
  <c r="CI29" i="2"/>
  <c r="CG29" i="2"/>
  <c r="CF29" i="2"/>
  <c r="CC29" i="2"/>
  <c r="CB29" i="2"/>
  <c r="BP29" i="2"/>
  <c r="Y29" i="2"/>
  <c r="G29" i="2"/>
  <c r="CJ28" i="2"/>
  <c r="CI28" i="2"/>
  <c r="CG28" i="2"/>
  <c r="CF28" i="2"/>
  <c r="CC28" i="2"/>
  <c r="CB28" i="2"/>
  <c r="BP28" i="2"/>
  <c r="Y28" i="2"/>
  <c r="G28" i="2"/>
  <c r="CJ27" i="2"/>
  <c r="CI27" i="2"/>
  <c r="CG27" i="2"/>
  <c r="CF27" i="2"/>
  <c r="CC27" i="2"/>
  <c r="CB27" i="2"/>
  <c r="BU27" i="2"/>
  <c r="BT27" i="2"/>
  <c r="BP27" i="2"/>
  <c r="Y27" i="2"/>
  <c r="G27" i="2"/>
  <c r="CJ26" i="2"/>
  <c r="CI26" i="2"/>
  <c r="CG26" i="2"/>
  <c r="CF26" i="2"/>
  <c r="CC26" i="2"/>
  <c r="CB26" i="2"/>
  <c r="BU26" i="2"/>
  <c r="BT26" i="2"/>
  <c r="BP26" i="2"/>
  <c r="Y26" i="2"/>
  <c r="G26" i="2"/>
  <c r="CJ25" i="2"/>
  <c r="CI25" i="2"/>
  <c r="CG25" i="2"/>
  <c r="CF25" i="2"/>
  <c r="CC25" i="2"/>
  <c r="CB25" i="2"/>
  <c r="BP25" i="2"/>
  <c r="Y25" i="2"/>
  <c r="G25" i="2"/>
  <c r="CJ24" i="2"/>
  <c r="CI24" i="2"/>
  <c r="CG24" i="2"/>
  <c r="CF24" i="2"/>
  <c r="CC24" i="2"/>
  <c r="CB24" i="2"/>
  <c r="BP24" i="2"/>
  <c r="Y24" i="2"/>
  <c r="G24" i="2"/>
  <c r="CJ23" i="2"/>
  <c r="CI23" i="2"/>
  <c r="CG23" i="2"/>
  <c r="CF23" i="2"/>
  <c r="CC23" i="2"/>
  <c r="CB23" i="2"/>
  <c r="BP23" i="2"/>
  <c r="Y23" i="2"/>
  <c r="G23" i="2"/>
  <c r="CJ22" i="2"/>
  <c r="CI22" i="2"/>
  <c r="CG22" i="2"/>
  <c r="CF22" i="2"/>
  <c r="CC22" i="2"/>
  <c r="CB22" i="2"/>
  <c r="BU22" i="2"/>
  <c r="BT22" i="2"/>
  <c r="BP22" i="2"/>
  <c r="Y22" i="2"/>
  <c r="G22" i="2"/>
  <c r="CJ21" i="2"/>
  <c r="CI21" i="2"/>
  <c r="CG21" i="2"/>
  <c r="CF21" i="2"/>
  <c r="CC21" i="2"/>
  <c r="CB21" i="2"/>
  <c r="BP21" i="2"/>
  <c r="Y21" i="2"/>
  <c r="G21" i="2"/>
  <c r="CJ20" i="2"/>
  <c r="CI20" i="2"/>
  <c r="CG20" i="2"/>
  <c r="CF20" i="2"/>
  <c r="CC20" i="2"/>
  <c r="CB20" i="2"/>
  <c r="BU20" i="2"/>
  <c r="BT20" i="2"/>
  <c r="BP20" i="2"/>
  <c r="Y20" i="2"/>
  <c r="G20" i="2"/>
  <c r="CJ19" i="2"/>
  <c r="CI19" i="2"/>
  <c r="CG19" i="2"/>
  <c r="CF19" i="2"/>
  <c r="CC19" i="2"/>
  <c r="CB19" i="2"/>
  <c r="BP19" i="2"/>
  <c r="Y19" i="2"/>
  <c r="G19" i="2"/>
  <c r="CJ18" i="2"/>
  <c r="CI18" i="2"/>
  <c r="CG18" i="2"/>
  <c r="CF18" i="2"/>
  <c r="CC18" i="2"/>
  <c r="CB18" i="2"/>
  <c r="BP18" i="2"/>
  <c r="Y18" i="2"/>
  <c r="G18" i="2"/>
  <c r="CJ17" i="2"/>
  <c r="CI17" i="2"/>
  <c r="CG17" i="2"/>
  <c r="CF17" i="2"/>
  <c r="CC17" i="2"/>
  <c r="CB17" i="2"/>
  <c r="BP17" i="2"/>
  <c r="Y17" i="2"/>
  <c r="G17" i="2"/>
  <c r="CJ16" i="2"/>
  <c r="CI16" i="2"/>
  <c r="CG16" i="2"/>
  <c r="CF16" i="2"/>
  <c r="CC16" i="2"/>
  <c r="CB16" i="2"/>
  <c r="BP16" i="2"/>
  <c r="Y16" i="2"/>
  <c r="G16" i="2"/>
  <c r="CJ15" i="2"/>
  <c r="CI15" i="2"/>
  <c r="CG15" i="2"/>
  <c r="CF15" i="2"/>
  <c r="CC15" i="2"/>
  <c r="CB15" i="2"/>
  <c r="BU15" i="2"/>
  <c r="BT15" i="2"/>
  <c r="BP15" i="2"/>
  <c r="Y15" i="2"/>
  <c r="G15" i="2"/>
  <c r="CJ14" i="2"/>
  <c r="CI14" i="2"/>
  <c r="CG14" i="2"/>
  <c r="CF14" i="2"/>
  <c r="CC14" i="2"/>
  <c r="CB14" i="2"/>
  <c r="BP14" i="2"/>
  <c r="Y14" i="2"/>
  <c r="G14" i="2"/>
  <c r="CJ13" i="2"/>
  <c r="CI13" i="2"/>
  <c r="CG13" i="2"/>
  <c r="CF13" i="2"/>
  <c r="CC13" i="2"/>
  <c r="CB13" i="2"/>
  <c r="BP13" i="2"/>
  <c r="Y13" i="2"/>
  <c r="G13" i="2"/>
  <c r="CJ12" i="2"/>
  <c r="CI12" i="2"/>
  <c r="CG12" i="2"/>
  <c r="CF12" i="2"/>
  <c r="CC12" i="2"/>
  <c r="CB12" i="2"/>
  <c r="BP12" i="2"/>
  <c r="Y12" i="2"/>
  <c r="G12" i="2"/>
  <c r="CJ11" i="2"/>
  <c r="CI11" i="2"/>
  <c r="CG11" i="2"/>
  <c r="CF11" i="2"/>
  <c r="CC11" i="2"/>
  <c r="CB11" i="2"/>
  <c r="Y11" i="2"/>
  <c r="G11" i="2"/>
  <c r="CJ10" i="2"/>
  <c r="CI10" i="2"/>
  <c r="CG10" i="2"/>
  <c r="CF10" i="2"/>
  <c r="CC10" i="2"/>
  <c r="CB10" i="2"/>
  <c r="Y10" i="2"/>
  <c r="G10" i="2"/>
  <c r="CJ9" i="2"/>
  <c r="CI9" i="2"/>
  <c r="CG9" i="2"/>
  <c r="CF9" i="2"/>
  <c r="CC9" i="2"/>
  <c r="CB9" i="2"/>
  <c r="BU9" i="2"/>
  <c r="BT9" i="2"/>
  <c r="Y9" i="2"/>
  <c r="G9" i="2"/>
  <c r="CJ8" i="2"/>
  <c r="CI8" i="2"/>
  <c r="CG8" i="2"/>
  <c r="CF8" i="2"/>
  <c r="CC8" i="2"/>
  <c r="CB8" i="2"/>
  <c r="Y8" i="2"/>
  <c r="G8" i="2"/>
  <c r="CJ7" i="2"/>
  <c r="CI7" i="2"/>
  <c r="CG7" i="2"/>
  <c r="CF7" i="2"/>
  <c r="CC7" i="2"/>
  <c r="CB7" i="2"/>
  <c r="Y7" i="2"/>
  <c r="G7" i="2"/>
  <c r="CJ6" i="2"/>
  <c r="CI6" i="2"/>
  <c r="CG6" i="2"/>
  <c r="CF6" i="2"/>
  <c r="CC6" i="2"/>
  <c r="CB6" i="2"/>
  <c r="Y6" i="2"/>
  <c r="G6" i="2"/>
  <c r="CJ5" i="2"/>
  <c r="CI5" i="2"/>
  <c r="CG5" i="2"/>
  <c r="CF5" i="2"/>
  <c r="CC5" i="2"/>
  <c r="CB5" i="2"/>
  <c r="Y5" i="2"/>
  <c r="G5" i="2"/>
  <c r="CJ4" i="2"/>
  <c r="CI4" i="2"/>
  <c r="CG4" i="2"/>
  <c r="CF4" i="2"/>
  <c r="CC4" i="2"/>
  <c r="CB4" i="2"/>
  <c r="Y4" i="2"/>
  <c r="G4" i="2"/>
  <c r="CJ3" i="2"/>
  <c r="CI3" i="2"/>
  <c r="CG3" i="2"/>
  <c r="CF3" i="2"/>
  <c r="CC3" i="2"/>
  <c r="CB3" i="2"/>
  <c r="Y3" i="2"/>
  <c r="G3" i="2"/>
  <c r="CJ2" i="2"/>
  <c r="CI2" i="2"/>
  <c r="CG2" i="2"/>
  <c r="CF2" i="2"/>
  <c r="CC2" i="2"/>
  <c r="CB2" i="2"/>
  <c r="Y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Chae, Young</author>
  </authors>
  <commentList>
    <comment ref="G1" authorId="0" shapeId="0" xr:uid="{582B98C9-5D9E-4CBD-8DD8-1CF95947D8EC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 at diagnosis</t>
        </r>
      </text>
    </comment>
    <comment ref="BF2" authorId="0" shapeId="0" xr:uid="{D7AB11BE-915D-4860-86E3-021BCC62CFA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Abdominal LN, brain meta; liver indefinte; no bone mta </t>
        </r>
      </text>
    </comment>
    <comment ref="BF3" authorId="0" shapeId="0" xr:uid="{5B6CC515-9940-45D2-8707-20ABF0E8A42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Trace left pleural effusion; adrenal gland mass; brain metastasis; no abdominal LN or liver or bone involvement </t>
        </r>
      </text>
    </comment>
    <comment ref="BF4" authorId="0" shapeId="0" xr:uid="{9BF83C34-1317-4841-8A09-AA897A524BF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meta; no bone involvement or abdominal meta on PET </t>
        </r>
      </text>
    </comment>
    <comment ref="BF5" authorId="0" shapeId="0" xr:uid="{176638A4-1AC1-4E5C-A7D5-EB79E51AC81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Bilateral nodule / pleural effusion</t>
        </r>
      </text>
    </comment>
    <comment ref="BF6" authorId="0" shapeId="0" xr:uid="{403F3038-C52B-4E38-80F7-C50301249FC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Adrenal gland bilateral (+) brain (-) liver (-) bone (-) </t>
        </r>
      </text>
    </comment>
    <comment ref="BF7" authorId="0" shapeId="0" xr:uid="{5FDD023A-8792-42D1-8DC7-C52A58D511C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effusion,left rib, rt lung </t>
        </r>
      </text>
    </comment>
    <comment ref="BC8" authorId="0" shapeId="0" xr:uid="{AC72A27C-BDE2-4FA2-877B-93831EAB60A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Metastatic Recurrence of Stage IB tumor s/p surgery </t>
        </r>
      </text>
    </comment>
    <comment ref="BF8" authorId="0" shapeId="0" xr:uid="{3C0ABFEA-5CE7-46E6-9C8F-CEE23F83803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Liver (+) Pleura (+) Bilateral (+) Brain (-) Bone (-) </t>
        </r>
      </text>
    </comment>
    <comment ref="BF9" authorId="0" shapeId="0" xr:uid="{97F81FB1-476A-4D6E-BAA5-B779BF194E63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Multiple bone met on PET;brain meta (-); liver nodule too small to characterize</t>
        </r>
      </text>
    </comment>
    <comment ref="BV9" authorId="0" shapeId="0" xr:uid="{FF025480-87D0-4B4A-BFF3-35AD46C5B40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Grade 2 (SOB)</t>
        </r>
      </text>
    </comment>
    <comment ref="BF10" authorId="0" shapeId="0" xr:uid="{237ACFB4-9819-49FE-B6DA-B93D03AD3753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MRI (-) no hypermetabolic meta lesion on PET </t>
        </r>
      </text>
    </comment>
    <comment ref="BF11" authorId="0" shapeId="0" xr:uid="{D99E80A7-049A-42E2-A75C-624D3DC6FDAC}">
      <text>
        <r>
          <rPr>
            <b/>
            <sz val="9"/>
            <color rgb="FF000000"/>
            <rFont val="Tahoma"/>
            <family val="2"/>
          </rPr>
          <t xml:space="preserve">Chae, Young: Rt trace pleural fluid but no uptake on PET -&gt; not metastasis / Lung to lung meta </t>
        </r>
      </text>
    </comment>
    <comment ref="BG14" authorId="0" shapeId="0" xr:uid="{8D706D6B-D721-4CEF-AEEA-63E5E47C2C0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solitary met contralaterallung, possible thyroid </t>
        </r>
      </text>
    </comment>
    <comment ref="BG18" authorId="0" shapeId="0" xr:uid="{F915878C-CE7C-44E7-B364-23DDFDE82C4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left axillary meta</t>
        </r>
      </text>
    </comment>
    <comment ref="BF21" authorId="0" shapeId="0" xr:uid="{280196C6-35E9-4718-A487-B85446B9CF3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Malignant pleural effusion</t>
        </r>
      </text>
    </comment>
    <comment ref="BF24" authorId="0" shapeId="0" xr:uid="{8CBE820B-5887-45AB-AC69-B8D4A1C1A1F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involvement</t>
        </r>
      </text>
    </comment>
    <comment ref="BF25" authorId="0" shapeId="0" xr:uid="{F5E322CE-2E7D-48ED-8AF5-D8E152519A9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Bone+rt adrenal mass+paraaortic LN</t>
        </r>
      </text>
    </comment>
    <comment ref="BF26" authorId="0" shapeId="0" xr:uid="{0F22C4B7-0C4F-41E3-886B-3C9CCC1D16B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bone, liver, spleen, pleura, lymph nodes</t>
        </r>
      </text>
    </comment>
    <comment ref="BF27" authorId="0" shapeId="0" xr:uid="{5D798BF3-A88F-4C2C-980B-D0707504DC27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Anterior chest wall</t>
        </r>
      </text>
    </comment>
    <comment ref="BF28" authorId="0" shapeId="0" xr:uid="{46D23126-6FB4-417F-8F4E-76928BB8AA17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Originally ypT2N0Mx, recurrence with meta to mediastinal LN and skeletal </t>
        </r>
      </text>
    </comment>
    <comment ref="BF29" authorId="0" shapeId="0" xr:uid="{D7715452-967B-423A-92A3-D79D412DE20B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Pleural, brain, left adrenal gland, liver </t>
        </r>
      </text>
    </comment>
    <comment ref="BF31" authorId="0" shapeId="0" xr:uid="{51BC93D7-5AE6-40E1-870B-4ABFF8B7F06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ypT1aN2Mx recurrence. Meta to LN</t>
        </r>
      </text>
    </comment>
    <comment ref="BF32" authorId="0" shapeId="0" xr:uid="{4F8B6377-5AE4-4434-9AD5-59BF5AB0BA1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Bilateral lungs, pleura
de novo </t>
        </r>
      </text>
    </comment>
    <comment ref="BF33" authorId="0" shapeId="0" xr:uid="{D40E32E2-746C-4200-A2E7-BEBBF30E9AF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pT2N0M0 recurrence with malignant pleural effusion</t>
        </r>
      </text>
    </comment>
    <comment ref="BF35" authorId="0" shapeId="0" xr:uid="{57024F49-11F0-44D5-B13F-07C5CD4D51D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Bone, brain, pleural effusion</t>
        </r>
      </text>
    </comment>
    <comment ref="BF38" authorId="0" shapeId="0" xr:uid="{B4ADDFFC-A5CD-40AB-BAF9-8BB2D1118EC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Adrenal side nodule </t>
        </r>
      </text>
    </comment>
    <comment ref="BF39" authorId="0" shapeId="0" xr:uid="{5B856781-AF3F-46A8-97FF-A99A2090E7D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metastasis </t>
        </r>
      </text>
    </comment>
    <comment ref="BF41" authorId="0" shapeId="0" xr:uid="{BCA3DBCC-0055-45E1-B0C4-09CABB189F7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effusion</t>
        </r>
      </text>
    </comment>
    <comment ref="BF42" authorId="0" shapeId="0" xr:uid="{BFA99215-E3ED-43DC-9FCD-D604F9A6629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 and brain meta </t>
        </r>
      </text>
    </comment>
    <comment ref="BF43" authorId="0" shapeId="0" xr:uid="{09A38EF6-17D2-4377-A63C-7F50DE5A942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 and adrenal meta </t>
        </r>
      </text>
    </comment>
    <comment ref="BF44" authorId="0" shapeId="0" xr:uid="{C70D760A-0295-49D1-AE1C-80F4DFEA331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Bone, pleura </t>
        </r>
      </text>
    </comment>
    <comment ref="BF45" authorId="0" shapeId="0" xr:uid="{74F4EDA5-1A60-4EBE-B03A-D475C56458E6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</t>
        </r>
      </text>
    </comment>
    <comment ref="BF46" authorId="0" shapeId="0" xr:uid="{74EBDBE1-238C-4E77-AC54-63750372585B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lung to lung, rib, liver</t>
        </r>
      </text>
    </comment>
    <comment ref="BF47" authorId="0" shapeId="0" xr:uid="{E42A06BB-AAEE-461E-9875-C3EE2E364AB6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adrenal and C3 bone mets</t>
        </r>
      </text>
    </comment>
    <comment ref="BF48" authorId="0" shapeId="0" xr:uid="{F7CC4018-E6F6-45D1-A184-E441FEF102F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 met and pleural effusion</t>
        </r>
      </text>
    </comment>
    <comment ref="BF49" authorId="0" shapeId="0" xr:uid="{018DC203-2385-4602-8A97-8E6910B627D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Brain, adrenal</t>
        </r>
      </text>
    </comment>
    <comment ref="BF52" authorId="0" shapeId="0" xr:uid="{13C18577-C93E-4747-A287-9C5F1A32EC68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Bone, liver meta on PET 1/30/2018</t>
        </r>
      </text>
    </comment>
    <comment ref="BF56" authorId="0" shapeId="0" xr:uid="{5FF08EB0-C13D-493C-AED0-597E1628CF77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effusion</t>
        </r>
      </text>
    </comment>
    <comment ref="BF57" authorId="0" shapeId="0" xr:uid="{86D79CB5-7BBC-4D3E-8093-5BF404FB907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 and liver meta</t>
        </r>
      </text>
    </comment>
    <comment ref="BF59" authorId="0" shapeId="0" xr:uid="{B32662BE-C390-4EF7-A422-CFFB0058D46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Direct rib invasion from pleura nodule</t>
        </r>
      </text>
    </comment>
    <comment ref="BF60" authorId="0" shapeId="0" xr:uid="{850F10AE-EE16-4395-9788-7B1111692B0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Lung to lung meta </t>
        </r>
      </text>
    </comment>
    <comment ref="BF61" authorId="0" shapeId="0" xr:uid="{71CCA3AD-C639-4E72-8661-F2E33DB205A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Liver and ovarian mass with high FDG uptake </t>
        </r>
      </text>
    </comment>
    <comment ref="BF62" authorId="0" shapeId="0" xr:uid="{4B814BC7-11E4-4D72-9E41-00C6BBF51D3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lung to lung meta no distant metastasis </t>
        </r>
      </text>
    </comment>
    <comment ref="BF63" authorId="0" shapeId="0" xr:uid="{391A7F61-A09A-4FA9-8AE7-19C1869D2BC9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meta &amp; pleural effusion </t>
        </r>
      </text>
    </comment>
    <comment ref="BF64" authorId="0" shapeId="0" xr:uid="{E9764072-632E-4EB4-924F-14FF7B2437A8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Multiple primary, recurred stage 3A w/ pleural effusion </t>
        </r>
      </text>
    </comment>
    <comment ref="R65" authorId="0" shapeId="0" xr:uid="{3FB03526-D2B2-4B2E-9F8C-29883E3FB02D}">
      <text>
        <r>
          <rPr>
            <b/>
            <sz val="9"/>
            <color indexed="81"/>
            <rFont val="Tahoma"/>
            <family val="2"/>
          </rPr>
          <t xml:space="preserve">Chae, Young:
initialnote - adeno, later changed to poorly differentited </t>
        </r>
      </text>
    </comment>
    <comment ref="BF65" authorId="0" shapeId="0" xr:uid="{0582AA97-0EC3-4E3C-9E7C-D851BA17937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(-) Liver (+) Bone (+) Periportal LN (+) </t>
        </r>
      </text>
    </comment>
    <comment ref="BF66" authorId="0" shapeId="0" xr:uid="{285C7C2C-8A00-491C-B803-C1761BE6CA8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 and multiple hepatic meta </t>
        </r>
      </text>
    </comment>
    <comment ref="BF67" authorId="0" shapeId="0" xr:uid="{63149394-5D77-4C2C-9BAB-8D4B1143D28D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Pelvic bone meta </t>
        </r>
      </text>
    </comment>
    <comment ref="BF68" authorId="0" shapeId="0" xr:uid="{C7E33754-0FAE-47C6-B633-C51F1541771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(rt cerebellar lesion)</t>
        </r>
      </text>
    </comment>
    <comment ref="BF69" authorId="0" shapeId="0" xr:uid="{C7BF8ABD-1E62-458A-AFE8-42B2C280AEC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oligometa to brain </t>
        </r>
      </text>
    </comment>
    <comment ref="BF70" authorId="0" shapeId="0" xr:uid="{06E2A026-DAB5-46D6-B1E1-775EEFA2F081}">
      <text>
        <r>
          <rPr>
            <b/>
            <sz val="9"/>
            <color indexed="81"/>
            <rFont val="Tahoma"/>
            <family val="2"/>
          </rPr>
          <t xml:space="preserve">Chae, Young: Lesions in the posterior abdominal soft tissue and celiac nodes </t>
        </r>
      </text>
    </comment>
    <comment ref="BF71" authorId="0" shapeId="0" xr:uid="{C053E9F7-C1A7-484F-8321-AFCFC77FDA54}">
      <text>
        <r>
          <rPr>
            <b/>
            <sz val="9"/>
            <color indexed="81"/>
            <rFont val="Tahoma"/>
            <family val="2"/>
          </rPr>
          <t xml:space="preserve">Chae, Young:Brain (rt cerebellar), bone mets </t>
        </r>
      </text>
    </comment>
    <comment ref="BF72" authorId="0" shapeId="0" xr:uid="{22799CD4-5053-4941-A716-0361128DDE8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multifocalmeta in thoracic and luminar spinal column </t>
        </r>
      </text>
    </comment>
    <comment ref="BF73" authorId="0" shapeId="0" xr:uid="{026BA2CF-9F46-41DC-8570-0E0F3390B7B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and rib lesion</t>
        </r>
      </text>
    </comment>
    <comment ref="BF74" authorId="0" shapeId="0" xr:uid="{5FB879BE-F981-44EA-9C81-790C6AF132A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malignant pleural effusion / pleura &amp; note </t>
        </r>
      </text>
    </comment>
    <comment ref="BF75" authorId="0" shapeId="0" xr:uid="{C4AFE733-E4C5-47C3-9B67-FC989AAC4EA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Brain, pleural effusion, bone, liver, multiple meta</t>
        </r>
      </text>
    </comment>
    <comment ref="BF76" authorId="0" shapeId="0" xr:uid="{91E04756-ADD9-4161-B026-5A339265B39B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Recurrence of previously cT3NxM0 ypT3N0 tumor;
Pleura + Ms + Bone destruction + Liver / abdomen meta (-) Brain (-) </t>
        </r>
      </text>
    </comment>
    <comment ref="BF77" authorId="0" shapeId="0" xr:uid="{BF6BA74C-DB8B-4F00-AFAB-4138DCEE551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T4 osteolytic metastasis </t>
        </r>
      </text>
    </comment>
    <comment ref="BF78" authorId="0" shapeId="0" xr:uid="{0174A4B6-B48C-4187-99A9-B39A7743C5E8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Rib &amp; hepatic meta on PET, no brain meta on MRI, pleura &amp; pulmonary meta </t>
        </r>
      </text>
    </comment>
    <comment ref="BF79" authorId="0" shapeId="0" xr:uid="{0962BA09-651E-45A5-BF58-358E05B9B0F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(-) L adrenal, L neck, mesenteric LN (+) </t>
        </r>
      </text>
    </comment>
    <comment ref="BF80" authorId="0" shapeId="0" xr:uid="{0C23C919-F790-4B00-BAF0-2C12E8DD2AE3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meta(+); no abdominal metastasis </t>
        </r>
      </text>
    </comment>
    <comment ref="BF81" authorId="0" shapeId="0" xr:uid="{8C3E3E47-3574-4823-A49E-54F0BAC09C4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Pleural meta, lung to lung meta, liver nodule (+) bone (-) brain (-) </t>
        </r>
      </text>
    </comment>
    <comment ref="BF82" authorId="0" shapeId="0" xr:uid="{030A8F46-4C61-4209-A0FF-D884DC8F07A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(+) bone meta (+) pleural effusion (+) </t>
        </r>
      </text>
    </comment>
    <comment ref="BF83" authorId="0" shapeId="0" xr:uid="{616E69AA-15A1-4D82-A21E-8F5BDF5689F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T7, rib, adrenal meta (+) abdominal meta (-) </t>
        </r>
      </text>
    </comment>
    <comment ref="BF84" authorId="0" shapeId="0" xr:uid="{BF8F8576-D002-4533-86BF-A9E70597A69C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(-) abdominal meta (-) pleural effusion (+) T11 meta (+)</t>
        </r>
      </text>
    </comment>
    <comment ref="BF85" authorId="0" shapeId="0" xr:uid="{DE52EBD7-1896-4E8F-9D70-5C5801A8A18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(+) Bone (+) Adrenal gland (+) </t>
        </r>
      </text>
    </comment>
    <comment ref="BF86" authorId="0" shapeId="0" xr:uid="{71CFEA55-E3C9-47C2-ACA1-C045DB2E667B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(+) </t>
        </r>
      </text>
    </comment>
    <comment ref="BF87" authorId="0" shapeId="0" xr:uid="{CFAF3EA1-5DB7-4711-A4D4-A114FEB765F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(-) Liver (+, CT) Bone (+, PET)</t>
        </r>
      </text>
    </comment>
    <comment ref="BF89" authorId="0" shapeId="0" xr:uid="{F750F3A7-96BC-48EF-96D3-0FD136E0509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(-) Bone (+) adrenal gland (+) abdominal wall (+) abdominal LN (+)</t>
        </r>
      </text>
    </comment>
    <comment ref="BO89" authorId="0" shapeId="0" xr:uid="{0734A3B6-47F3-45FD-A2AD-5584EAB819D9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Rt.abdominal musculature</t>
        </r>
      </text>
    </comment>
    <comment ref="BF90" authorId="0" shapeId="0" xr:uid="{4D78B0E8-425B-4F3C-8E7E-F52AA7E9763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Bilateral SCN, Brain meta, bone meta, pancreas meta, liver meta </t>
        </r>
      </text>
    </comment>
    <comment ref="BF91" authorId="0" shapeId="0" xr:uid="{9EB6488B-D3B8-40DC-A227-B0D00D15F3D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Bone, liver meta (+) Brain meta (-) cervical LN (+) </t>
        </r>
      </text>
    </comment>
    <comment ref="BO91" authorId="0" shapeId="0" xr:uid="{8A213488-7373-4A3B-AE3A-D4000E47090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Spleen</t>
        </r>
      </text>
    </comment>
    <comment ref="BF92" authorId="0" shapeId="0" xr:uid="{14E83FA6-5680-43C5-B255-0AB932602076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s/p resection, Bone meta </t>
        </r>
      </text>
    </comment>
    <comment ref="BF93" authorId="0" shapeId="0" xr:uid="{8B727E97-59A3-4653-828D-ABE046C5D6D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adrenal gland meta (+) T8 spine meta (+) mediastinum/hilum/supraclavicular LN (+) brain uncertain </t>
        </r>
      </text>
    </comment>
    <comment ref="BF94" authorId="0" shapeId="0" xr:uid="{985F47B1-D7DB-4A37-A635-DC383F7A0C4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Initial clinical T1N1 stage II, recurrent / brain meta (-) rt anterior chest wall (+) pleural nodule (+) abdominal LN (+) </t>
        </r>
      </text>
    </comment>
    <comment ref="BF95" authorId="0" shapeId="0" xr:uid="{AE73CD21-4505-49C7-8521-0A475B492E52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Bilateral cervical LN (+) brain (-)</t>
        </r>
      </text>
    </comment>
    <comment ref="BF96" authorId="0" shapeId="0" xr:uid="{2BC1EB46-5060-4874-90D0-95BBD09050A5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Adrenal meta (+) Bone (-) Brain (-) </t>
        </r>
      </text>
    </comment>
    <comment ref="BF97" authorId="0" shapeId="0" xr:uid="{D300A92E-F064-4616-BA86-243BBDAD085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paraspinal pleural meta (+) brain (-) liver (-) osseous (-)</t>
        </r>
      </text>
    </comment>
    <comment ref="BO97" authorId="0" shapeId="0" xr:uid="{BDE0AC74-AE5D-4253-8DAD-AD9D09347B81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The poorly defined medial left pleural soft tissue thickening that is inseparable from the left paraspinal region in some areas, and also appears to extend into the left T6-T7 neural foramen.</t>
        </r>
      </text>
    </comment>
    <comment ref="BF98" authorId="0" shapeId="0" xr:uid="{CAEB7B4D-246C-40A6-B9CA-272A0A88B89F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Suspect brain meta </t>
        </r>
      </text>
    </comment>
    <comment ref="BF99" authorId="0" shapeId="0" xr:uid="{063A6AD7-101C-4A51-B1B1-52E44A44D7EC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(+) Liver (+) Adrenal (+) Bone (-)</t>
        </r>
      </text>
    </comment>
    <comment ref="BL99" authorId="0" shapeId="0" xr:uid="{695563C2-B02D-4694-9BC1-E17C4F61887A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Reponse to CTx</t>
        </r>
      </text>
    </comment>
    <comment ref="BO99" authorId="0" shapeId="0" xr:uid="{2F81B7EF-2CF5-48C4-B144-B9F243B43CC6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Rt.axillary region documented on12/06/19 External PET reading</t>
        </r>
      </text>
    </comment>
    <comment ref="BF100" authorId="0" shapeId="0" xr:uid="{55461C96-63E4-43EF-B706-365D3CDF5327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Lung to lung meta </t>
        </r>
      </text>
    </comment>
    <comment ref="BF101" authorId="0" shapeId="0" xr:uid="{1D3699B1-D7B9-4F8B-AFF3-D2034D75BE1E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Malignant effusion; bone uncertain, liver uncertain, brain meta (-) </t>
        </r>
      </text>
    </comment>
    <comment ref="BF102" authorId="0" shapeId="0" xr:uid="{8A68D0D3-2DE5-413C-BD68-158B6DDEE038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Bone meta on PET and MRI; no brain meta </t>
        </r>
      </text>
    </comment>
    <comment ref="BO102" authorId="0" shapeId="0" xr:uid="{3DC5E198-C217-490E-B127-16B3CDE5AF60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nerve sheath possible metastasis ? unlikely</t>
        </r>
      </text>
    </comment>
    <comment ref="BF103" authorId="0" shapeId="0" xr:uid="{033A9C7C-3736-44DD-9E3D-1DA7C07B7CED}">
      <text>
        <r>
          <rPr>
            <b/>
            <sz val="9"/>
            <color indexed="81"/>
            <rFont val="Tahoma"/>
            <family val="2"/>
          </rPr>
          <t xml:space="preserve">Chae, Young: </t>
        </r>
        <r>
          <rPr>
            <sz val="9"/>
            <color indexed="81"/>
            <rFont val="Tahoma"/>
            <family val="2"/>
          </rPr>
          <t>Originally stage 1B pT2N0M0 -&gt; Recur stage IVA T4N2M1b (sternum, rib, left mammary node meta)</t>
        </r>
      </text>
    </comment>
    <comment ref="BF104" authorId="0" shapeId="0" xr:uid="{C5571980-7784-4241-A534-1853017E27A3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Brain meta (+) left breast meta (+) lt ischiorectal fossa (+) left gluteal muscle (+) </t>
        </r>
      </text>
    </comment>
    <comment ref="BO104" authorId="0" shapeId="0" xr:uid="{3CA9EF53-8B47-4011-9105-E5A2FE355B64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 left breast, left ischiorectal fossa, the soft tissues overlying the left gluteal musculature, and within the anterior upper mesentery</t>
        </r>
      </text>
    </comment>
    <comment ref="CA104" authorId="0" shapeId="0" xr:uid="{4C0E3AA7-EC8A-4979-B269-E894B25C5C76}">
      <text>
        <r>
          <rPr>
            <b/>
            <sz val="9"/>
            <color indexed="81"/>
            <rFont val="Tahoma"/>
            <family val="2"/>
          </rPr>
          <t>Chae, Young:</t>
        </r>
        <r>
          <rPr>
            <sz val="9"/>
            <color indexed="81"/>
            <rFont val="Tahoma"/>
            <family val="2"/>
          </rPr>
          <t xml:space="preserve">
??
</t>
        </r>
      </text>
    </comment>
  </commentList>
</comments>
</file>

<file path=xl/sharedStrings.xml><?xml version="1.0" encoding="utf-8"?>
<sst xmlns="http://schemas.openxmlformats.org/spreadsheetml/2006/main" count="6444" uniqueCount="2868">
  <si>
    <t>INFO_PatientID</t>
  </si>
  <si>
    <t>INFO_ProcessDateOfTexture</t>
  </si>
  <si>
    <t>INFO_SeriesDate</t>
  </si>
  <si>
    <t>INFO_Series</t>
  </si>
  <si>
    <t>INFO_ActualFrameDuration</t>
  </si>
  <si>
    <t>INFO_NameOfRoi</t>
  </si>
  <si>
    <t>PARAMS_DistanceOfNeighbours</t>
  </si>
  <si>
    <t>PARAMS_NumberOfGreyLevels</t>
  </si>
  <si>
    <t>PARAMS_BinSize</t>
  </si>
  <si>
    <t>PARAMS_IntensityResampling</t>
  </si>
  <si>
    <t>PARAMS_BoundsRangeOfValueAfterDiscretisation(HU)</t>
  </si>
  <si>
    <t>PARAMS_ZSpatialResampling</t>
  </si>
  <si>
    <t>PARAMS_YSpatialResampling</t>
  </si>
  <si>
    <t>PARAMS_XSpatialResampling</t>
  </si>
  <si>
    <t>CHECK_Cluster(s)ToSmall</t>
  </si>
  <si>
    <t>TimePosition</t>
  </si>
  <si>
    <t>Location[2DProcessingOnly]</t>
  </si>
  <si>
    <t>FEATURE RESULTS</t>
  </si>
  <si>
    <t>MORPHOLOGICAL_Volume(IBSI:RNU0)</t>
  </si>
  <si>
    <t>MORPHOLOGICAL_ApproximateVolume(IBSI:YEKZ)</t>
  </si>
  <si>
    <t>MORPHOLOGICAL_voxelsCounting(IBSI:No)</t>
  </si>
  <si>
    <t>MORPHOLOGICAL_SurfaceArea(IBSI:C0JK)</t>
  </si>
  <si>
    <t>MORPHOLOGICAL_SurfaceToVolumeRatio(IBSI:2PR5)</t>
  </si>
  <si>
    <t>MORPHOLOGICAL_Compacity(IBSI:No)</t>
  </si>
  <si>
    <t>MORPHOLOGICAL_Compactness1(IBSI:SKGS)</t>
  </si>
  <si>
    <t>MORPHOLOGICAL_Compactness2(IBSI:BQWJ)</t>
  </si>
  <si>
    <t>MORPHOLOGICAL_SphericalDisproportion(IBSI:KRCK)</t>
  </si>
  <si>
    <t>MORPHOLOGICAL_Sphericity(IBSI:QCFX)</t>
  </si>
  <si>
    <t>MORPHOLOGICAL_Asphericity(IBSI:25C7)</t>
  </si>
  <si>
    <t>MORPHOLOGICAL_MaxValueCoordinates(IBSI:No)</t>
  </si>
  <si>
    <t>MORPHOLOGICAL_CenterOfMass(IBSI:No)</t>
  </si>
  <si>
    <t>MORPHOLOGICAL_WeightedCenterOfMass(IBSI:No)</t>
  </si>
  <si>
    <t>MORPHOLOGICAL_HocMax(IBSI:No)</t>
  </si>
  <si>
    <t>MORPHOLOGICAL_HocMaxNormalizedWithRadiusRoi(IBSI:No)</t>
  </si>
  <si>
    <t>MORPHOLOGICAL_HocMaxNormalizedWithRadiusSphere(IBSI:No)</t>
  </si>
  <si>
    <t>MORPHOLOGICAL_HocPeak0.5mL(IBSI:No)</t>
  </si>
  <si>
    <t>MORPHOLOGICAL_HocPeak0.5mLNormalizedWithRadiusRoi (IBSI:No)</t>
  </si>
  <si>
    <t>MORPHOLOGICAL_HocPeak0.5mLNormalizedWithRadiusSphere(IBSI:No)</t>
  </si>
  <si>
    <t>MORPHOLOGICAL_HocPeak1mL(IBSI:No)</t>
  </si>
  <si>
    <t>MORPHOLOGICAL_HocPeak1mLNormalizedWithRadiusRoi (IBSI:No)</t>
  </si>
  <si>
    <t>MORPHOLOGICAL_HocPeak1mLNormalizedWithRadiusSphere(IBSI:No)</t>
  </si>
  <si>
    <t>MORPHOLOGICAL_CentreOfMassShift(IBSI:KLMA)</t>
  </si>
  <si>
    <t>MORPHOLOGICAL_CentreOfMassShiftMaxNormalizedWithRadiusRoi(IBSI:No)</t>
  </si>
  <si>
    <t>MORPHOLOGICAL_CentreOfMassShiftNormalizedWithRadiusSphere(IBSI:No)</t>
  </si>
  <si>
    <t>MORPHOLOGICAL_Maximum3DDiameter(IBSI:L0JK)</t>
  </si>
  <si>
    <t>MORPHOLOGICAL_SphereDiameter(IBSI:No)</t>
  </si>
  <si>
    <t>MORPHOLOGICAL_IntegratedIntensity(IBSI:99N0)</t>
  </si>
  <si>
    <t>INTENSITY-BASED_Mean(HU)IBSI:Q4LE</t>
  </si>
  <si>
    <t>INTENSITY-BASED_Variance(HU)IBSI:ECT3</t>
  </si>
  <si>
    <t>INTENSITY-BASED_Skewness(HU)IBSI:KE2A</t>
  </si>
  <si>
    <t>INTENSITY-BASED_Kurtosis(HU)IBSI:IPH6</t>
  </si>
  <si>
    <t>INTENSITY-BASED_Median(HU)IBSI:Y12H</t>
  </si>
  <si>
    <t>INTENSITY-BASED_MinimumGreyLevel(HU)IBSI:1GSF</t>
  </si>
  <si>
    <t>INTENSITY-BASED_10thPercentile(HU)IBSI:QG58</t>
  </si>
  <si>
    <t>INTENSITY-BASED_25thPercentile(HU)IBSI:No</t>
  </si>
  <si>
    <t>INTENSITY-BASED_50thPercentile(HU)IBSI:Y12H</t>
  </si>
  <si>
    <t>INTENSITY-BASED_75thPercentile(HU)IBSI:No</t>
  </si>
  <si>
    <t>INTENSITY-BASED_90thPercentile(HU)IBSI:8DWT</t>
  </si>
  <si>
    <t>INTENSITY-BASED_StandardDeviation(HU)IBSI:No</t>
  </si>
  <si>
    <t>INTENSITY-BASED_MaximumGreyLevel(HU)IBSI:84IY</t>
  </si>
  <si>
    <t>INTENSITY-BASED_InterquartileRange(HU)IBSI:SALO</t>
  </si>
  <si>
    <t>INTENSITY-BASED_Range(HU)IBSI:2OJQ</t>
  </si>
  <si>
    <t>INTENSITY-BASED_MeanAbsoluteDeviation(HU)IBSI:4FUA</t>
  </si>
  <si>
    <t>INTENSITY-BASED_RobustMeanAbsoluteDeviation(HU)IBSI:1128</t>
  </si>
  <si>
    <t>INTENSITY-BASED_MedianAbsoluteDeviation(HU)IBSI:N72L</t>
  </si>
  <si>
    <t>INTENSITY-BASED_CoefficientOfVariation(HU)IBSI:7TET</t>
  </si>
  <si>
    <t>INTENSITY-BASED_QuartileCoefficientOfDispersion(HU)IBSI:9S40</t>
  </si>
  <si>
    <t>INTENSITY-BASED_AreaUnderCurveCsh(HU)IBSI:No</t>
  </si>
  <si>
    <t>INTENSITY-BASED_Energy(HU)IBSI:N8CA</t>
  </si>
  <si>
    <t>INTENSITY-BASED_RootMeanSquare(HU)IBSI:5ZWQ</t>
  </si>
  <si>
    <t>INTENSITY-BASED_TotalLesionGlycolysis(HU)IBSI:No</t>
  </si>
  <si>
    <t>INTENSITY-BASED_TotalCalciumScore[OnlyOnCT]IBSI:No</t>
  </si>
  <si>
    <t>LOCAL_INTENSITY_BASED_IntensityPeakDiscretizedVolumeSought(0.5mL)(mL)IBSI:No</t>
  </si>
  <si>
    <t>LOCAL_INTENSITY_BASED_GlobalIntensityPeak(0.5mL)(HU)IBSI:No</t>
  </si>
  <si>
    <t>LOCAL_INTENSITY_BASED_IntensityPeakDiscretizedVolumeSought(1mL)(mL)IBSI:No</t>
  </si>
  <si>
    <t>LOCAL_INTENSITY_BASED_GlobalIntensityPeak(1mL)(HU)IBSI:0F91</t>
  </si>
  <si>
    <t>LOCAL_INTENSITY_BASED_LocalIntensityPeak(HU)IBSI:VJGA</t>
  </si>
  <si>
    <t>INTENSITY-BASED-RIM_Min(HU)IBSI:No</t>
  </si>
  <si>
    <t>INTENSITY-BASED-RIM_Mean(HU)IBSI:No</t>
  </si>
  <si>
    <t>INTENSITY-BASED-RIM_Stdev(HU)IBSI:No</t>
  </si>
  <si>
    <t>INTENSITY-BASED-RIM_Max(HU)IBSI:No</t>
  </si>
  <si>
    <t>INTENSITY-BASED-RIM_CountingVoxels(#vx)IBSI:No</t>
  </si>
  <si>
    <t>INTENSITY-BASED-RIM_ApproximateVolume(mL)IBSI:No</t>
  </si>
  <si>
    <t>INTENSITY-BASED-RIM_Sum(HU)IBSI:No</t>
  </si>
  <si>
    <t>INTENSITY-HISTOGRAM_IntensityHistogramMean(HU)IBSI:X6K6</t>
  </si>
  <si>
    <t>INTENSITY-HISTOGRAM_IntensityHistogramVariance(HU)IBSI:CH89</t>
  </si>
  <si>
    <t>INTENSITY-HISTOGRAM_IntensityHistogramSkewness(HU)IBSI:88K1</t>
  </si>
  <si>
    <t>INTENSITY-HISTOGRAM_IntensityHistogramKurtosis(HU)IBSI:C3I7</t>
  </si>
  <si>
    <t>INTENSITY-HISTOGRAM_IntensityHistogramMedian(HU)IBSI:WIFQ</t>
  </si>
  <si>
    <t>INTENSITY-HISTOGRAM_IntensityHistogramMinimumGreyLevel(HU)IBSI:1PR8</t>
  </si>
  <si>
    <t>INTENSITY-HISTOGRAM_IntensityHistogram10thPercentile(HU)IBSI:GPMT</t>
  </si>
  <si>
    <t>INTENSITY-HISTOGRAM_IntensityHistogram25thPercentile(HU)IBSI:No</t>
  </si>
  <si>
    <t>INTENSITY-HISTOGRAM_IntensityHistogram50thPercentile(HU)IBSI:No</t>
  </si>
  <si>
    <t>INTENSITY-HISTOGRAM_IntensityHistogram75thPercentile(HU)IBSI:No</t>
  </si>
  <si>
    <t>INTENSITY-HISTOGRAM_IntensityHistogram90thPercentile(HU)IBSI:OZ0C</t>
  </si>
  <si>
    <t>INTENSITY-HISTOGRAM_IntensityHistogramStandardDeviation(HU)IBSI:No</t>
  </si>
  <si>
    <t>INTENSITY-HISTOGRAM_IntensityHistogramMaximumGreyLevel(HU)IBSI:3NCY</t>
  </si>
  <si>
    <t>INTENSITY-HISTOGRAM_IntensityHistogramMode(HU)IBSI:AMMC</t>
  </si>
  <si>
    <t>INTENSITY-HISTOGRAM_IntensityHistogramInterquartileRange(HU)IBSI:WR0O</t>
  </si>
  <si>
    <t>INTENSITY-HISTOGRAM_IntensityHistogramRange(HU)IBSI:5Z3W</t>
  </si>
  <si>
    <t>INTENSITY-HISTOGRAM_IntensityHistogramMeanAbsoluteDeviation(HU)IBSI:D2ZX</t>
  </si>
  <si>
    <t>INTENSITY-HISTOGRAM_IntensityHistogramRobustMeanAbsoluteDeviation(HU)IBSI:WRZB</t>
  </si>
  <si>
    <t>INTENSITY-HISTOGRAM_IntensityHistogramMedianAbsoluteDeviation(HU)IBSI:4RNL</t>
  </si>
  <si>
    <t>INTENSITY-HISTOGRAM_IntensityHistogramCoefficientOfVariation(HU)IBSI:CWYJ</t>
  </si>
  <si>
    <t>INTENSITY-HISTOGRAM_IntensityHistogramQuartileCoefficientOfDispersion(HU)IBSI:SLWD</t>
  </si>
  <si>
    <t>INTENSITY-HISTOGRAM_IntensityHistogramEntropyLog10(HU)IBSI:No</t>
  </si>
  <si>
    <t>INTENSITY-HISTOGRAM_IntensityHistogramEntropyLog2(HU)IBSI:TLU2</t>
  </si>
  <si>
    <t>INTENSITY-HISTOGRAM_AreaUnderCurveCsh(HU)IBSI:No</t>
  </si>
  <si>
    <t>INTENSITY-HISTOGRAM_Uniformity(HU)IBSI:BJ5W</t>
  </si>
  <si>
    <t>INTENSITY-HISTOGRAM_RootMeanSquare(HU)IBSI:No</t>
  </si>
  <si>
    <t>INTENSITY-HISTOGRAM_MaximumHistogramGradient(HU)IBSI:12CE</t>
  </si>
  <si>
    <t>INTENSITY-HISTOGRAM_MaximumHistogramGradientGreyLevel(HU)IBSI:8E6O</t>
  </si>
  <si>
    <t>INTENSITY-HISTOGRAM_MinimumHistogramGradient(HU)IBSI:VQB3</t>
  </si>
  <si>
    <t>INTENSITY-HISTOGRAM_MinimumHistogramGradientGreyLevel(HU)IBSI:RHQZ</t>
  </si>
  <si>
    <t>LOCAL_INTENSITY_HISTOGRAM_IntensityPeakDiscretizedVolumeSought(0.5mL)(mL)IBSI:No</t>
  </si>
  <si>
    <t>LOCAL_INTENSITY_HISTOGRAM_GlobalIntensityPeak(0.5mL)(HU)IBSI:No</t>
  </si>
  <si>
    <t>LOCAL_INTENSITY_HISTOGRAM_IntensityPeakDiscretizedVolumeSought(1mL)(mL)IBSI:No</t>
  </si>
  <si>
    <t>LOCAL_INTENSITY_HISTOGRAM_GlobalIntensityPeak(1mL)(HU)IBSI:No</t>
  </si>
  <si>
    <t>LOCAL_INTENSITY_HISTOGRAM_LocalIntensityPeak(HU)IBSI:No</t>
  </si>
  <si>
    <t>INTENSITY-HISTOGRAM-RIM_Min(HU)IBSI:No</t>
  </si>
  <si>
    <t>INTENSITY-HISTOGRAM-RIM_Mean(HU)IBSI:No</t>
  </si>
  <si>
    <t>INTENSITY-HISTOGRAM-RIM_Stdev(HU)IBSI:No</t>
  </si>
  <si>
    <t>INTENSITY-HISTOGRAM-RIM_Max(HU)IBSI:No</t>
  </si>
  <si>
    <t>INTENSITY-HISTOGRAM-RIM_CountingVoxels(#vx)IBSI:No</t>
  </si>
  <si>
    <t>INTENSITY-HISTOGRAM-RIM_ApproximateVolume(mL)IBSI:No</t>
  </si>
  <si>
    <t>INTENSITY-HISTOGRAM-RIM_Sum(HU)IBSI:No</t>
  </si>
  <si>
    <t>GLCM_JointMaximum(IBSI:GYBY)</t>
  </si>
  <si>
    <t>GLCM_JointAverage(IBSI:60VM)</t>
  </si>
  <si>
    <t>GLCM_JointVariance(IBSI:UR99)</t>
  </si>
  <si>
    <t>GLCM_JointEntropyLog2(IBSI:TU9B)</t>
  </si>
  <si>
    <t>GLCM_JointEntropyLog10(IBSI:No)</t>
  </si>
  <si>
    <t>GLCM_DifferenceAverage(IBSI:TF7R)</t>
  </si>
  <si>
    <t>GLCM_DifferenceVariance(IBSI:D3YU)</t>
  </si>
  <si>
    <t>GLCM_DifferenceEntropy(IBSI:NTRS)</t>
  </si>
  <si>
    <t>GLCM_SumAverage(IBSI:ZGXS)</t>
  </si>
  <si>
    <t>GLCM_SumVariance(IBSI:OEEB)</t>
  </si>
  <si>
    <t>GLCM_SumEntropy(IBSI:P6QZ)</t>
  </si>
  <si>
    <t>GLCM_AngularSecondMoment(IBSI:8ZQL)</t>
  </si>
  <si>
    <t>GLCM_Contrast(IBSI:ACUI)</t>
  </si>
  <si>
    <t>GLCM_Dissimilarity(IBSI:8S9J)</t>
  </si>
  <si>
    <t>GLCM_InverseDifference(IBSI:IB1Z)</t>
  </si>
  <si>
    <t>GLCM_NormalisedInverseDifference(IBSI:NDRX)</t>
  </si>
  <si>
    <t>GLCM_InverseDifferenceMoment(IBSI:WF0Z)</t>
  </si>
  <si>
    <t>GLCM_NormalisedInverseDifferenceMoment(IBSI:1QCO)</t>
  </si>
  <si>
    <t>GLCM_InverseVariance(IBSI:E8JP)</t>
  </si>
  <si>
    <t>GLCM_Correlation(IBSI:NI2N)</t>
  </si>
  <si>
    <t>GLCM_Autocorrelation(IBSI:QWB0)</t>
  </si>
  <si>
    <t>GLCM_ClusterTendency(IBSI:DG8W)</t>
  </si>
  <si>
    <t>GLCM_ClusterShade(IBSI:7NFM)</t>
  </si>
  <si>
    <t>GLCM_ClusterProminence(IBSI:AE86)</t>
  </si>
  <si>
    <t>GLRLM_ShortRunsEmphasis(IBSI:22OV)</t>
  </si>
  <si>
    <t>GLRLM_LongRunsEmphasis(IBSI:W4KF)</t>
  </si>
  <si>
    <t>GLRLM_LowGreyLevelRunEmphasis(IBSI:V3SW)</t>
  </si>
  <si>
    <t>GLRLM_HighGreyLevelRunEmphasis(IBSI:G3QZ)</t>
  </si>
  <si>
    <t>GLRLM_ShortRunLowGreyLevelEmphasis(IBSI:HTZT)</t>
  </si>
  <si>
    <t>GLRLM_ShortRunHighGreyLevelEmphasis(IBSI:GD3A)</t>
  </si>
  <si>
    <t>GLRLM_LongRunLowGreyLevelEmphasis(IBSI:IVPO)</t>
  </si>
  <si>
    <t>GLRLM_LongRunHighGreyLevelEmphasis(IBSI:3KUM)</t>
  </si>
  <si>
    <t>GLRLM_GreyLevelNonUniformity(IBSI:R5YN)</t>
  </si>
  <si>
    <t>GLRLM_RunLengthNonUniformity(IBSI:W92Y)</t>
  </si>
  <si>
    <t>GLRLM_RunPercentage(IBSI:9ZK5)</t>
  </si>
  <si>
    <t>NGTDM_Coarseness(IBSI:QCDE)</t>
  </si>
  <si>
    <t>NGTDM_Contrast(IBSI:65HE)</t>
  </si>
  <si>
    <t>NGTDM_Busyness(IBSI:NQ30)</t>
  </si>
  <si>
    <t>NGTDM_Complexity(IBSI:HDEZ)</t>
  </si>
  <si>
    <t>NGTDM_Strength(IBSI:1X9X)</t>
  </si>
  <si>
    <t>GLSZM_SmallZoneEmphasis(IBSI:5QRC)</t>
  </si>
  <si>
    <t>GLSZM_LargeZoneEmphasis(IBSI:48P8)</t>
  </si>
  <si>
    <t>GLSZM_LowGrayLevelZoneEmphasis(IBSI:XMSY)</t>
  </si>
  <si>
    <t>GLSZM_HighGrayLevelZoneEmphasis(IBSI:5GN9)</t>
  </si>
  <si>
    <t>GLSZM_SmallZoneLowGreyLevelEmphasis(IBSI:5RAI)</t>
  </si>
  <si>
    <t>GLSZM_SmallZoneHighGreyLevelEmphasis(IBSI:HW1V)</t>
  </si>
  <si>
    <t>GLSZM_LargeZoneLowGreyLevelEmphasis(IBSI:YH51)</t>
  </si>
  <si>
    <t>GLSZM_LargeZoneHighGreyLevelEmphasis(IBSI:J17V)</t>
  </si>
  <si>
    <t>GLSZM_GreyLevelNonUniformity(IBSI:JNSA)</t>
  </si>
  <si>
    <t>GLSZM_NormalisedGreyLevelNonUniformity(IBSI:Y1RO)</t>
  </si>
  <si>
    <t>GLSZM_ZoneSizeNonUniformity(IBSI:4JP3)</t>
  </si>
  <si>
    <t>GLSZM_NormalisedZoneSizeNonUniformity(IBSI:VB3A)</t>
  </si>
  <si>
    <t>GLSZM_ZonePercentage(IBSI:P30P)</t>
  </si>
  <si>
    <t>GLSZM_GreyLevelVariance(IBSI:BYLV)</t>
  </si>
  <si>
    <t>GLSZM_ZoneSizeVariance(IBSI:3NSA)</t>
  </si>
  <si>
    <t>GLSZM_ZoneSizeEntropy(IBSI:GU8N)</t>
  </si>
  <si>
    <t>BASELINE CT</t>
  </si>
  <si>
    <t>Wed Apr 02 16:19:18 CDT 2025</t>
  </si>
  <si>
    <t>2_CAP W_CT</t>
  </si>
  <si>
    <t>0.016666667458290856 min</t>
  </si>
  <si>
    <t>'R1</t>
  </si>
  <si>
    <t>Absolute bounds: -1000.0 &lt;-&gt; 3000.0</t>
  </si>
  <si>
    <t>42.0 &lt;-&gt; 111.0</t>
  </si>
  <si>
    <t>Cluster(s) of 287.0  voxels is(are) detected. If more than one cluster the texture calculation is only performed on the largest cluster. (size ok &gt;= 16.0vx)</t>
  </si>
  <si>
    <t>z106.0 y264.0 x189.0</t>
  </si>
  <si>
    <t>z106.0 y258.18466898954705 x197.19163763066203</t>
  </si>
  <si>
    <t>z106.0 y258.94621468926556 x198.921381042059</t>
  </si>
  <si>
    <t>private</t>
  </si>
  <si>
    <t>NaN</t>
  </si>
  <si>
    <t>-587.0|-587.0|-442.0|-388.0|-323.0|-260.0|-31.0|</t>
  </si>
  <si>
    <t>-138.76306620209056|-187.84883720930233|-143.42253521126764|-146.1111111111111|-109.95121951219514|-46.96153846153846|14.666666666666664|</t>
  </si>
  <si>
    <t>144.45941388358165|153.11179358840133|144.81971910434032|130.46833966262076|121.64060442489692|103.29177522146846|21.499353995462798|</t>
  </si>
  <si>
    <t>107.0|107.0|107.0|63.0|53.0|67.0|42.0|</t>
  </si>
  <si>
    <t>287|86|71|54|41|26|9|</t>
  </si>
  <si>
    <t>1.2402975463867187|0.3716571044921875|0.30683319091796873|0.2333660888671875|0.17718536376953126|0.1123614501953125|0.03889434814453125|</t>
  </si>
  <si>
    <t>-39825.0|-16155.0|-10183.0|-7890.0|-4508.0|-1221.0|132.0|</t>
  </si>
  <si>
    <t>42.0|42.0|56.0|62.0|68.0|75.0|97.0|</t>
  </si>
  <si>
    <t>86.65853658536574|81.76744186046508|86.16901408450704|85.88888888888889|89.53658536585367|95.88461538461537|102.11111111111111|</t>
  </si>
  <si>
    <t>14.424444093463567|15.286925876651841|14.4495098756909|13.037931366631275|12.10542623941159|10.281899416999845|2.330686329267001|</t>
  </si>
  <si>
    <t>111.0|111.0|111.0|107.0|106.0|107.0|105.0|</t>
  </si>
  <si>
    <t>24871.0|7032.0|6118.0|4638.0|3671.0|2493.0|919.0|</t>
  </si>
  <si>
    <t>32.0 &lt;-&gt; 114.0</t>
  </si>
  <si>
    <t>Cluster(s) of 998.0  voxels is(are) detected. If more than one cluster the texture calculation is only performed on the largest cluster. (size ok &gt;= 16.0vx)</t>
  </si>
  <si>
    <t>z107.0 y250.0 x208.0</t>
  </si>
  <si>
    <t>z107.0 y262.39278557114227 x191.64629258517033</t>
  </si>
  <si>
    <t>z107.0 y262.12472994869023 x185.0455036456927</t>
  </si>
  <si>
    <t>-690.0|-690.0|-511.0|-306.0|-207.0|31.0|37.0|33.0|42.0|54.0|53.0|58.0|</t>
  </si>
  <si>
    <t>29.683366733466904|-99.69281045751637|6.914285714285734|38.848484848484844|57.33870967741935|70.21818181818183|71.05102040816321|70.89655172413792|69.13157894736841|72.77272727272728|70.08|67.55555555555554|</t>
  </si>
  <si>
    <t>105.88558664334526|173.33673756256448|120.66325548604179|75.88103576397337|43.882336643606486|14.128232095657275|11.744188705335173|12.655501264166686|12.003664029724602|8.751269093325929|7.589044735669964|8.668091051040923|</t>
  </si>
  <si>
    <t>137.0|137.0|118.0|111.0|107.0|104.0|102.0|100.0|99.0|95.0|91.0|80.0|</t>
  </si>
  <si>
    <t>998|153|140|132|124|110|98|87|76|44|25|9|</t>
  </si>
  <si>
    <t>4.3129510498046875|0.6612039184570313|0.605023193359375|0.570450439453125|0.535877685546875|0.4753753662109375|0.4235162353515625|0.37597869873046874|0.328441162109375|0.190150146484375|0.10803985595703125|0.03889434814453125|</t>
  </si>
  <si>
    <t>29624.0|-15253.0|968.0|5128.0|7110.0|7724.0|6963.0|6168.0|5254.0|3202.0|1752.0|608.0|</t>
  </si>
  <si>
    <t>32.0|32.0|49.0|70.0|80.0|104.0|104.0|104.0|105.0|106.0|106.0|106.0|</t>
  </si>
  <si>
    <t>103.50701402805622|90.56209150326798|101.20714285714283|104.44696969696966|106.27419354838707|107.55454545454543|107.65306122448982|107.63218390804597|107.4342105263158|107.8181818181818|107.64|107.22222222222221|</t>
  </si>
  <si>
    <t>10.585724634330495|17.290985246336106|12.064408355969704|7.6001538998964975|4.4256195295804135|1.4179778408087984|1.2625051288344127|1.3227882649026053|1.1957768485249|0.9599414582701313|0.8428523002282206|1.030402055055075|</t>
  </si>
  <si>
    <t>114.0|114.0|112.0|112.0|111.0|111.0|111.0|111.0|110.0|110.0|110.0|109.0|</t>
  </si>
  <si>
    <t>103300.0|13856.0|14169.0|13787.0|13178.0|11831.0|10550.0|9364.0|8165.0|4744.0|2691.0|965.0|</t>
  </si>
  <si>
    <t>46.0 &lt;-&gt; 114.0</t>
  </si>
  <si>
    <t>Cluster(s) of 1323.0  voxels is(are) detected. If more than one cluster the texture calculation is only performed on the largest cluster. (size ok &gt;= 16.0vx)</t>
  </si>
  <si>
    <t>z108.0 y249.0 x209.0</t>
  </si>
  <si>
    <t>z108.0 y263.55404383975815 x190.0045351473923</t>
  </si>
  <si>
    <t>z108.0 y261.4840282250981 x189.2851056977221</t>
  </si>
  <si>
    <t>-542.0|-542.0|-205.0|-102.0|18.0|39.0|46.0|50.0|52.0|49.0|49.0|48.0|42.0|</t>
  </si>
  <si>
    <t>51.631141345427096|-67.89017341040463|57.17391304347827|72.76158940397352|73.26760563380284|73.08396946564882|72.68067226890753|71.56880733944955|71.3838383838384|72.07954545454545|67.52173913043484|66.21818181818182|66.23076923076923|</t>
  </si>
  <si>
    <t>77.69913093840857|156.7027839720603|61.701501961584526|30.27855416803959|14.684434363531663|12.651547392272416|12.250832777804742|9.339043988238737|9.900216374236903|9.5978472857543|9.854901959309352|9.376354998497616|10.172767917366038|</t>
  </si>
  <si>
    <t>132.0|132.0|118.0|119.0|110.0|109.0|107.0|99.0|99.0|96.0|91.0|86.0|84.0|</t>
  </si>
  <si>
    <t>1323|173|161|151|142|131|119|109|99|88|69|55|26|</t>
  </si>
  <si>
    <t>5.717469177246094|0.7476358032226562|0.6957766723632812|0.6525607299804688|0.6136663818359375|0.5661288452148437|0.5142697143554688|0.47105377197265624|0.42783782958984373|0.38030029296875|0.29819000244140625|0.23768768310546876|0.1123614501953125|</t>
  </si>
  <si>
    <t>68308.0|-11745.0|9205.0|10987.0|10404.0|9574.0|8649.0|7801.0|7067.0|6343.0|4659.0|3642.0|1722.0|</t>
  </si>
  <si>
    <t>46.0|46.0|80.0|90.0|102.0|104.0|105.0|106.0|106.0|105.0|105.0|105.0|105.0|</t>
  </si>
  <si>
    <t>105.71730914588053|93.78612716763006|106.26708074534163|107.841059602649|107.87323943661974|107.83206106870232|107.83193277310922|107.74311926605502|107.71717171717172|107.72727272727273|107.27536231884058|107.16363636363639|107.15384615384615|</t>
  </si>
  <si>
    <t>7.774226932596953|15.701530926647754|6.162154342138577|3.0232930496392836|1.4720836766708632|1.2730481048203333|1.2320600207133587|0.961684967440633|1.0154404332817932|0.9854310631217638|1.0478972453637811|1.0047819548834938|0.9880948137434724|</t>
  </si>
  <si>
    <t>114.0|114.0|112.0|112.0|112.0|111.0|111.0|110.0|110.0|110.0|110.0|109.0|109.0|</t>
  </si>
  <si>
    <t>139864.0|16225.0|17109.0|16284.0|15318.0|14126.0|12832.0|11744.0|10664.0|9480.0|7402.0|5894.0|2786.0|</t>
  </si>
  <si>
    <t>19.0 &lt;-&gt; 114.0</t>
  </si>
  <si>
    <t>Cluster(s) of 1356.0  voxels is(are) detected. If more than one cluster the texture calculation is only performed on the largest cluster. (size ok &gt;= 16.0vx)</t>
  </si>
  <si>
    <t>z109.0 y259.0 x179.0</t>
  </si>
  <si>
    <t>z109.0 y263.9373156342183 x190.55457227138643</t>
  </si>
  <si>
    <t>z109.0 y266.641578028033 x191.8630444352926</t>
  </si>
  <si>
    <t>-812.0|-812.0|-461.0|-73.0|50.0|54.0|52.0|52.0|36.0|41.0|41.0|35.0|44.0|</t>
  </si>
  <si>
    <t>51.92994100294988|-70.97777777777773|55.14457831325303|76.26114649681534|79.25342465753425|79.43065693430657|74.69047619047618|74.16521739130432|70.07843137254906|66.1264367816092|64.51470588235294|61.53061224489797|59.56521739130435|</t>
  </si>
  <si>
    <t>92.31575905024596|198.20897937826336|79.44758559042234|27.77231047750247|11.775765480650607|10.813478761531908|10.945365247818973|9.625085372660438|12.110347442846832|10.865747719801487|9.530898123007185|8.806542189727015|9.531759666716601|</t>
  </si>
  <si>
    <t>130.0|120.0|119.0|130.0|123.0|109.0|106.0|102.0|96.0|86.0|93.0|78.0|70.0|</t>
  </si>
  <si>
    <t>1356|180|166|157|146|137|126|115|102|87|68|49|23|</t>
  </si>
  <si>
    <t>5.860081787109375|0.777886962890625|0.7173846435546875|0.6784902954101563|0.6309527587890625|0.5920584106445312|0.5445208740234375|0.49698333740234374|0.4408026123046875|0.37597869873046874|0.293868408203125|0.21175811767578126|0.09939666748046876|</t>
  </si>
  <si>
    <t>70417.0|-12776.0|9154.0|11973.0|11571.0|10882.0|9411.0|8529.0|7148.0|5753.0|4387.0|3015.0|1370.0|</t>
  </si>
  <si>
    <t>19.0|19.0|54.0|93.0|106.0|106.0|106.0|106.0|104.0|105.0|105.0|104.0|105.0|</t>
  </si>
  <si>
    <t>105.73377581120947|93.47222222222221|106.07228915662651|108.14649681528662|108.45205479452054|108.4963503649635|108.00000000000004|107.99130434782607|107.5294117647059|107.16091954022988|106.88235294117649|106.71428571428577|106.5217391304348|</t>
  </si>
  <si>
    <t>9.232049994458533|19.819863929221093|7.986861398617469|2.800853570133119|1.2224060699036485|1.0882523831846915|1.0910894511799658|1.0086206868694993|1.2263918251852453|1.102490005359241|0.9629826790438181|0.9258200997725495|0.9722034684781666|</t>
  </si>
  <si>
    <t>114.0|113.0|112.0|114.0|113.0|111.0|111.0|111.0|110.0|109.0|110.0|108.0|108.0|</t>
  </si>
  <si>
    <t>143375.0|16825.0|17608.0|16979.0|15834.0|14864.0|13608.0|12419.0|10968.0|9323.0|7268.0|5229.0|2450.0|</t>
  </si>
  <si>
    <t>26.0 &lt;-&gt; 114.0</t>
  </si>
  <si>
    <t>Cluster(s) of 1231.0  voxels is(are) detected. If more than one cluster the texture calculation is only performed on the largest cluster. (size ok &gt;= 16.0vx)</t>
  </si>
  <si>
    <t>z110.0 y252.0 x208.0</t>
  </si>
  <si>
    <t>z110.0 y264.6011372867587 x194.0454914703493</t>
  </si>
  <si>
    <t>z110.0 y269.5170810986511 x195.66903949293027</t>
  </si>
  <si>
    <t>-747.0|-747.0|-426.0|-126.0|63.0|49.0|57.0|52.0|44.0|46.0|48.0|41.0|47.0|59.0|</t>
  </si>
  <si>
    <t>49.98375304630375|-105.64779874213835|33.161073825503344|83.93571428571425|89.8030303030303|84.43801652892563|78.27777777777779|75.39393939393938|73.89887640449437|73.27631578947368|73.34920634920634|72.36734693877551|71.14285714285714|76.72727272727273|</t>
  </si>
  <si>
    <t>107.15777019558945|215.85259174510506|108.37451018531664|31.14074288367153|13.164138265447116|13.783384752643169|11.37071721029695|9.139566753450152|10.370707390108016|10.825893282956432|12.289056597987132|12.141502239621566|11.72821471529931|7.237414268180053|</t>
  </si>
  <si>
    <t>131.0|119.0|131.0|125.0|122.0|120.0|112.0|98.0|95.0|92.0|102.0|98.0|92.0|87.0|</t>
  </si>
  <si>
    <t>1231|159|149|140|132|121|108|99|89|76|63|49|35|11|</t>
  </si>
  <si>
    <t>5.319882507324219|0.6871334838867188|0.6439175415039062|0.605023193359375|0.570450439453125|0.5229129028320313|0.466732177734375|0.42783782958984373|0.3846218872070313|0.328441162109375|0.27226043701171876|0.21175811767578126|0.15125579833984376|0.04753753662109375|</t>
  </si>
  <si>
    <t>61530.0|-16798.0|4941.0|11751.0|11854.0|10217.0|8454.0|7464.0|6577.0|5569.0|4621.0|3546.0|2490.0|844.0|</t>
  </si>
  <si>
    <t>26.0|26.0|58.0|88.0|107.0|105.0|106.0|106.0|105.0|105.0|105.0|105.0|105.0|106.0|</t>
  </si>
  <si>
    <t>105.5507717303007|89.99371069182389|103.88590604026848|108.94285714285719|109.53787878787878|108.97520661157019|108.37037037037038|108.08080808080808|107.95505617977528|107.88157894736845|107.8888888888889|107.79591836734696|107.6857142857143|108.09090909090908|</t>
  </si>
  <si>
    <t>10.720910304796416|21.597663761190883|10.844557724166638|3.127690678374675|1.3673980103250702|1.4169155764194603|1.229216798168597|0.9393396313181923|1.0267228585672483|1.1581189974214088|1.3106536732281315|1.1424926532472164|1.1897521607803985|0.7925270806437624|</t>
  </si>
  <si>
    <t>114.0|112.0|114.0|113.0|113.0|113.0|112.0|110.0|110.0|110.0|111.0|110.0|110.0|109.0|</t>
  </si>
  <si>
    <t>129933.0|14309.0|15479.0|15252.0|14459.0|13186.0|11704.0|10700.0|9608.0|8199.0|6797.0|5282.0|3769.0|1189.0|</t>
  </si>
  <si>
    <t>29.0 &lt;-&gt; 114.0</t>
  </si>
  <si>
    <t>Cluster(s) of 1346.0  voxels is(are) detected. If more than one cluster the texture calculation is only performed on the largest cluster. (size ok &gt;= 16.0vx)</t>
  </si>
  <si>
    <t>z111.0 y283.0 x207.0</t>
  </si>
  <si>
    <t>z111.0 y266.5066864784547 x197.1745913818722</t>
  </si>
  <si>
    <t>z111.0 y260.6953241708993 x191.16417687481328</t>
  </si>
  <si>
    <t>-715.0|-715.0|-546.0|-295.0|-28.0|24.0|45.0|55.0|46.0|52.0|54.0|46.0|57.0|64.0|73.0|</t>
  </si>
  <si>
    <t>39.786032689450224|-159.68452380952377|3.1146496815286664|65.35616438356165|82.31884057971016|83.60156250000003|81.32203389830511|80.74285714285712|79.08421052631581|76.51219512195122|75.46376811594202|76.17543859649123|79.45454545454544|85.70370370370371|88.91666666666666|</t>
  </si>
  <si>
    <t>126.60443239160134|235.18369567822617|139.387603655787|63.97107005878617|23.575344990251317|15.744215129964203|12.820059332428478|11.018623690244207|10.96373270848241|9.847921536856083|11.212802866373014|13.291763452786316|14.543749900112585|11.721505448801471|8.509390237979582|</t>
  </si>
  <si>
    <t>131.0|127.0|126.0|131.0|119.0|112.0|110.0|104.0|105.0|101.0|105.0|108.0|119.0|112.0|103.0|</t>
  </si>
  <si>
    <t>1346|168|157|146|138|128|118|105|95|82|69|57|44|27|12|</t>
  </si>
  <si>
    <t>5.816865844726562|0.72602783203125|0.6784902954101563|0.6309527587890625|0.5963800048828125|0.5531640625|0.5099481201171875|0.45376739501953123|0.41055145263671877|0.3543707275390625|0.29819000244140625|0.24633087158203126|0.190150146484375|0.11668304443359374|0.051859130859375|</t>
  </si>
  <si>
    <t>53552.0|-26827.0|489.0|9542.0|11360.0|10701.0|9596.0|8478.0|7513.0|6274.0|5207.0|4342.0|3496.0|2314.0|1067.0|</t>
  </si>
  <si>
    <t>29.0|29.0|46.0|71.0|98.0|103.0|105.0|106.0|105.0|106.0|106.0|105.0|106.0|107.0|108.0|</t>
  </si>
  <si>
    <t>104.53120356612183|84.61309523809523|100.85350318471339|107.08904109589041|108.80434782608695|108.88281250000004|108.68644067796609|108.61904761904762|108.42105263157896|108.21951219512191|108.10144927536234|108.17543859649123|108.47727272727272|109.18518518518519|109.41666666666669|</t>
  </si>
  <si>
    <t>12.657952690215883|23.514920692645465|13.966208211398325|6.381610172642271|2.364773775533676|1.5743108301233724|1.312903061871184|1.1660348143210024|1.1105138437812996|0.9756097560975673|1.1813150070907144|1.3523573572352117|1.529834161595128|1.2182877187702608|0.9537935951882983|</t>
  </si>
  <si>
    <t>114.0|113.0|113.0|114.0|112.0|112.0|112.0|111.0|111.0|111.0|111.0|111.0|112.0|112.0|111.0|</t>
  </si>
  <si>
    <t>140699.0|14215.0|15834.0|15635.0|15015.0|13937.0|12825.0|11405.0|10300.0|8874.0|7459.0|6166.0|4773.0|2948.0|1313.0|</t>
  </si>
  <si>
    <t>22.0 &lt;-&gt; 113.0</t>
  </si>
  <si>
    <t>Cluster(s) of 1052.0  voxels is(are) detected. If more than one cluster the texture calculation is only performed on the largest cluster. (size ok &gt;= 16.0vx)</t>
  </si>
  <si>
    <t>z112.0 y258.0 x198.0</t>
  </si>
  <si>
    <t>z112.0 y270.49524714828897 x198.8184410646388</t>
  </si>
  <si>
    <t>z112.0 y268.7567398624806 x192.98217490371624</t>
  </si>
  <si>
    <t>-788.0|-788.0|-489.0|-112.0|55.0|60.0|53.0|59.0|49.0|32.0|31.0|21.0|52.0|</t>
  </si>
  <si>
    <t>47.1416349809886|-98.35625000000003|14.558620689655163|74.74809160305342|90.0168067226891|91.96153846153845|89.18478260869566|85.98780487804878|84.4347826086956|78.72881355932208|78.04444444444448|84.06249999999999|87.28571428571428|</t>
  </si>
  <si>
    <t>107.32115681443447|187.36346184872195|103.26576866226216|37.85676974389113|13.442053160299754|13.040560303060275|11.44735525543107|12.88740536852392|15.50360244333094|20.58700471168981|22.534867359573703|21.792971200595847|13.386712876305857|</t>
  </si>
  <si>
    <t>121.0|105.0|111.0|115.0|121.0|121.0|115.0|114.0|120.0|114.0|112.0|109.0|107.0|</t>
  </si>
  <si>
    <t>1052|160|145|131|119|104|92|82|69|59|45|32|14|</t>
  </si>
  <si>
    <t>4.546317138671875|0.691455078125|0.6266311645507813|0.5661288452148437|0.5142697143554688|0.44944580078125|0.397586669921875|0.3543707275390625|0.29819000244140625|0.25497406005859374|0.19447174072265624|0.138291015625|0.0605023193359375|</t>
  </si>
  <si>
    <t>49593.0|-15737.0|2111.0|9792.0|10712.0|9564.0|8205.0|7051.0|5826.0|4645.0|3512.0|2690.0|1222.0|</t>
  </si>
  <si>
    <t>22.0|22.0|52.0|89.0|106.0|107.0|106.0|106.0|105.0|104.0|104.0|103.0|106.0|</t>
  </si>
  <si>
    <t>105.26425855513313|90.70625|102.02068965517243|107.99999999999999|109.563025210084|109.71153846153845|109.47826086956523|109.15853658536582|108.9855072463768|108.4406779661017|108.3777777777778|108.99999999999999|109.28571428571428|</t>
  </si>
  <si>
    <t>10.721169497812719|18.707818176834515|10.281197411490108|3.8163969259215165|1.3512437809910451|1.3058527785665344|1.156063982635506|1.3202874058428955|1.6195611646027823|2.0358747459114306|2.213984732346123|2.179449471770336|1.2205719636167887|</t>
  </si>
  <si>
    <t>113.0|111.0|112.0|112.0|113.0|113.0|112.0|112.0|113.0|112.0|112.0|111.0|111.0|</t>
  </si>
  <si>
    <t>110738.0|14513.0|14793.0|14148.0|13038.0|11410.0|10072.0|8951.0|7520.0|6398.0|4877.0|3488.0|1530.0|</t>
  </si>
  <si>
    <t>Wed Apr 02 16:19:19 CDT 2025</t>
  </si>
  <si>
    <t>40.0 &lt;-&gt; 138.0</t>
  </si>
  <si>
    <t>Cluster(s) of 644.0  voxels is(are) detected. If more than one cluster the texture calculation is only performed on the largest cluster. (size ok &gt;= 16.0vx)</t>
  </si>
  <si>
    <t>z113.0 y278.0 x183.0</t>
  </si>
  <si>
    <t>z113.0 y270.7111801242236 x195.01086956521738</t>
  </si>
  <si>
    <t>z113.0 y270.24357046979867 x192.52456375838926</t>
  </si>
  <si>
    <t>-601.0|-601.0|-396.0|-42.0|40.0|36.0|34.0|73.0|83.0|83.0|87.0|</t>
  </si>
  <si>
    <t>57.84161490683233|-19.267241379310338|26.902912621359214|71.36956521739133|85.46428571428574|86.72000000000001|89.6229508196721|94.46938775510203|100.1891891891892|98.38095238095238|99.33333333333334|</t>
  </si>
  <si>
    <t>94.31317465848696|173.99179319521528|91.13518333773226|28.53095854441518|21.769051004411125|24.377344673555676|19.75436364695005|8.682852067916361|8.676896436803787|7.081002017310897|6.749485577105528|</t>
  </si>
  <si>
    <t>374.0|374.0|163.0|116.0|128.0|136.0|123.0|111.0|117.0|113.0|109.0|</t>
  </si>
  <si>
    <t>644|116|103|92|84|75|61|49|37|21|6|</t>
  </si>
  <si>
    <t>2.783106689453125|0.501304931640625|0.44512420654296875|0.397586669921875|0.363013916015625|0.32411956787109375|0.2636172485351562|0.21175811767578126|0.15989898681640624|0.09075347900390625|0.0259295654296875|</t>
  </si>
  <si>
    <t>37250.0|-2235.0|2771.0|6566.0|7179.0|6504.0|5467.0|4629.0|3707.0|2066.0|596.0|</t>
  </si>
  <si>
    <t>40.0|40.0|61.0|96.0|105.0|104.0|104.0|108.0|109.0|109.0|109.0|</t>
  </si>
  <si>
    <t>106.32453416149056|98.58620689655172|103.25242718446604|107.64130434782606|109.07142857142857|109.25333333333334|109.49180327868852|110.0|110.62162162162164|110.42857142857143|110.33333333333334|</t>
  </si>
  <si>
    <t>9.450029770915709|17.434640985750793|9.111731951573166|2.8839191394740196|2.1480096783374365|2.4608580256126555|1.9804201476708734|0.9258200997725518|0.9684579928199426|0.7284313590846829|0.7453559924999285|</t>
  </si>
  <si>
    <t>138.0|138.0|117.0|112.0|113.0|114.0|113.0|112.0|112.0|112.0|111.0|</t>
  </si>
  <si>
    <t>68473.0|11436.0|10635.0|9903.0|9162.0|8194.0|6679.0|5390.0|4093.0|2319.0|662.0|</t>
  </si>
  <si>
    <t>26.0 &lt;-&gt; 119.0</t>
  </si>
  <si>
    <t>Cluster(s) of 291.0  voxels is(are) detected. If more than one cluster the texture calculation is only performed on the largest cluster. (size ok &gt;= 16.0vx)</t>
  </si>
  <si>
    <t>z114.0 y263.0 x194.0</t>
  </si>
  <si>
    <t>z114.0 y272.27147766323026 x198.98625429553266</t>
  </si>
  <si>
    <t>z114.0 y255.27138451550073 x188.62035383866257</t>
  </si>
  <si>
    <t>-743.0|-743.0|-227.0|-64.0|16.0|22.0|45.0|74.0|</t>
  </si>
  <si>
    <t>21.171821305841945|-61.54945054945055|28.22857142857143|67.8936170212766|80.92105263157895|78.22222222222223|77.73333333333333|80.66666666666667|</t>
  </si>
  <si>
    <t>132.65239448521928|196.6175661909763|82.90892962911111|39.35394978287315|24.29141236489637|21.096486162275028|14.703589886675823|6.798692684790381|</t>
  </si>
  <si>
    <t>182.0|182.0|125.0|114.0|118.0|100.0|99.0|90.0|</t>
  </si>
  <si>
    <t>291|91|70|47|38|27|15|3|</t>
  </si>
  <si>
    <t>1.2575839233398438|0.39326507568359376|0.3025115966796875|0.20311492919921875|0.1642205810546875|0.11668304443359374|0.06482391357421875|0.01296478271484375|</t>
  </si>
  <si>
    <t>6161.0|-5601.0|1976.0|3191.0|3075.0|2112.0|1166.0|242.0|</t>
  </si>
  <si>
    <t>26.0|26.0|78.0|94.0|102.0|103.0|105.0|108.0|</t>
  </si>
  <si>
    <t>102.63573883161509|94.36263736263737|103.39999999999999|107.27659574468086|108.57894736842104|108.29629629629628|108.26666666666668|108.66666666666667|</t>
  </si>
  <si>
    <t>13.256832293613758|19.64940872835589|8.279751549067505|3.9663592162488652|2.5301505982572436|2.0872596746082|1.4360439485692051|0.9428090415820642|</t>
  </si>
  <si>
    <t>119.0|119.0|113.0|112.0|112.0|111.0|110.0|110.0|</t>
  </si>
  <si>
    <t>29867.0|8587.0|7238.0|5042.0|4126.0|2924.0|1624.0|326.0|</t>
  </si>
  <si>
    <t>67.0 &lt;-&gt; 120.0</t>
  </si>
  <si>
    <t>Cluster(s) of 143.0  voxels is(are) detected. If more than one cluster the texture calculation is only performed on the largest cluster. (size ok &gt;= 16.0vx)</t>
  </si>
  <si>
    <t>z115.0 y287.0 x200.0</t>
  </si>
  <si>
    <t>z115.0 y279.83916083916085 x200.84615384615384</t>
  </si>
  <si>
    <t>z115.0 y281.4476801579467 x200.5520730503455</t>
  </si>
  <si>
    <t>-339.0|-339.0|-17.0|-28.0|-3.0|</t>
  </si>
  <si>
    <t>28.33566433566433|22.000000000000004|36.22222222222223|29.758620689655178|26.555555555555557|</t>
  </si>
  <si>
    <t>65.12515589887184|95.56184733808082|24.28249382112223|28.706187212940687|17.808307119688155|</t>
  </si>
  <si>
    <t>198.0|198.0|79.0|67.0|46.0|</t>
  </si>
  <si>
    <t>143|60|45|29|9|</t>
  </si>
  <si>
    <t>0.6179879760742187|0.259295654296875|0.19447174072265624|0.12532623291015624|0.03889434814453125|</t>
  </si>
  <si>
    <t>4052.0|1320.0|1630.0|863.0|239.0|</t>
  </si>
  <si>
    <t>67.0|67.0|99.0|98.0|100.0|</t>
  </si>
  <si>
    <t>103.34965034965033|102.69999999999999|104.15555555555555|103.51724137931033|103.11111111111111|</t>
  </si>
  <si>
    <t>6.489646128314827|9.510169994975556|2.4399959522330317|2.8961411860132507|1.7916128329552339|</t>
  </si>
  <si>
    <t>120.0|120.0|108.0|107.0|105.0|</t>
  </si>
  <si>
    <t>14779.0|6162.0|4687.0|3002.0|928.0|</t>
  </si>
  <si>
    <t>Wed Apr 02 16:17:04 CDT 2025</t>
  </si>
  <si>
    <t>2_Chest/Abd/Pel_CT</t>
  </si>
  <si>
    <t>54.0 &lt;-&gt; 149.0</t>
  </si>
  <si>
    <t>Cluster(s) of 8247.0  voxels is(are) detected. If more than one cluster the texture calculation is only performed on the largest cluster. (size ok &gt;= 64.0vx)</t>
  </si>
  <si>
    <t>z107.0 y280.0 x280.0</t>
  </si>
  <si>
    <t>z108.08390930035165 y257.89559839941796 x286.81023402449375</t>
  </si>
  <si>
    <t>z108.03898655172928 y257.9713456422574 x286.6118387952701</t>
  </si>
  <si>
    <t>-466.0|-466.0|-172.0|-71.0|-48.0|17.0|13.0|16.0|20.0|21.0|19.0|45.0|46.0|52.0|</t>
  </si>
  <si>
    <t>62.050806353825564|16.295297805642612|61.335219236209355|76.75183673469385|80.04761904761898|78.58418079096052|76.76813655761019|73.18504672897197|69.84250000000003|67.57600000000002|73.68253968253967|72.72727272727272|61.615384615384606|59.5|</t>
  </si>
  <si>
    <t>64.04060767643891|111.75016894851227|53.39379672821343|39.66081249352835|32.29180405312635|29.29323746280124|29.56568515412499|28.645845236209748|27.05665710596931|27.58992975706896|26.950469205106792|23.347536015959555|7.810628474057855|4.7169905660283025|</t>
  </si>
  <si>
    <t>486.0|486.0|213.0|194.0|184.0|172.0|171.0|149.0|145.0|150.0|134.0|132.0|76.0|65.0|</t>
  </si>
  <si>
    <t>8247|1595|1414|1225|1029|885|703|535|400|250|126|55|26|4|</t>
  </si>
  <si>
    <t>18.614139404296875|3.600042724609375|3.19151123046875|2.764923095703125|2.322535400390625|1.997515869140625|1.586727294921875|1.207537841796875|0.90283203125|0.56427001953125|0.28439208984375|0.124139404296875|0.05868408203125|0.0090283203125|</t>
  </si>
  <si>
    <t>511733.0|25991.0|86728.0|94021.0|82369.0|69547.0|53968.0|39154.0|27937.0|16894.0|9284.0|4000.0|1602.0|238.0|</t>
  </si>
  <si>
    <t>54.0|54.0|83.0|93.0|96.0|102.0|102.0|102.0|103.0|103.0|102.0|105.0|105.0|106.0|</t>
  </si>
  <si>
    <t>106.75336485994904|102.18495297805642|106.68528995756712|108.22285714285722|108.55490767735668|108.39209039548022|108.22759601706979|107.8392523364486|107.55000000000003|107.32000000000002|107.92063492063491|107.7818181818182|106.65384615384616|106.75|</t>
  </si>
  <si>
    <t>6.406923245152734|11.176173684523214|5.351106247319065|3.9674347852876184|3.2421165081036087|2.9371850609425603|2.9686806695700483|2.8828126520454997|2.693974758604838|2.754196797616318|2.724384813632026|2.356352412992349|0.8293791789556836|0.4330127018922183|</t>
  </si>
  <si>
    <t>149.0|149.0|122.0|120.0|119.0|118.0|118.0|115.0|115.0|116.0|114.0|114.0|108.0|107.0|</t>
  </si>
  <si>
    <t>880395.0|162985.0|150853.0|132573.0|111703.0|95927.0|76084.0|57694.0|43020.0|26830.0|13598.0|5928.0|2773.0|427.0|</t>
  </si>
  <si>
    <t>Wed Apr 02 16:17:38 CDT 2025</t>
  </si>
  <si>
    <t>2_C/A/P  5.0  I40f_CT</t>
  </si>
  <si>
    <t>26.0 &lt;-&gt; 116.0</t>
  </si>
  <si>
    <t>Cluster(s) of 3464.0  voxels is(are) detected. If more than one cluster the texture calculation is only performed on the largest cluster. (size ok &gt;= 64.0vx)</t>
  </si>
  <si>
    <t>z90.0 y371.0 x335.0</t>
  </si>
  <si>
    <t>z89.64318706697459 y375.61345265588915 x322.0715935334873</t>
  </si>
  <si>
    <t>z90.00740065426073 y376.1654153483134 x326.17887595859924</t>
  </si>
  <si>
    <t>-744.0|-744.0|-342.0|-174.0|-45.0|-104.0|-133.0|48.0|72.0|</t>
  </si>
  <si>
    <t>10.766166281755178|-80.47695605573423|19.741898148148127|55.433289299867894|59.040080160320656|56.648936170212764|60.3888888888889|66.10526315789474|72.5|</t>
  </si>
  <si>
    <t>103.88013916314478|140.2219445550014|76.6444672214263|44.11597363317768|31.00827992070615|36.87299674476145|41.359049646411385|12.694361520156583|0.5|</t>
  </si>
  <si>
    <t>155.0|116.0|135.0|155.0|131.0|122.0|123.0|99.0|73.0|</t>
  </si>
  <si>
    <t>3464|933|864|757|499|282|108|19|2|</t>
  </si>
  <si>
    <t>6.681318969726562|1.7995584869384766|1.66647216796875|1.4600919342041017|0.962464828491211|0.5439179992675781|0.20830902099609375|0.03664695739746094|0.003857574462890625|</t>
  </si>
  <si>
    <t>37294.0|-75085.0|17057.0|41963.0|29461.0|15975.0|6522.0|1256.0|145.0|</t>
  </si>
  <si>
    <t>26.0|26.0|66.0|83.0|96.0|90.0|87.0|105.0|108.0|</t>
  </si>
  <si>
    <t>101.62730946882215|92.51125401929264|102.52199074074078|106.07926023778074|106.46292585170337|106.2127659574468|106.61111111111113|107.1578947368421|108.0|</t>
  </si>
  <si>
    <t>10.393219505941666|14.026354456085764|7.677497043422821|4.428388721130235|3.1227602404847103|3.7194305036477346|4.169628576880175|1.267536271451823|0.0|</t>
  </si>
  <si>
    <t>116.0|112.0|114.0|116.0|114.0|113.0|113.0|110.0|108.0|</t>
  </si>
  <si>
    <t>352037.0|86313.0|88579.0|80302.0|53125.0|29952.0|11514.0|2036.0|216.0|</t>
  </si>
  <si>
    <t>Wed Apr 02 16:20:07 CDT 2025</t>
  </si>
  <si>
    <t>6_Soft Tissue_CT</t>
  </si>
  <si>
    <t>30.0 &lt;-&gt; 150.0</t>
  </si>
  <si>
    <t>Cluster(s) of 24835.0 1.0 2.0 3.0 3.0 1.0  voxels is(are) detected. If more than one cluster the texture calculation is only performed on the largest cluster. (size ok &gt;= 64.0vx)</t>
  </si>
  <si>
    <t>z76.0 y279.0 x217.0</t>
  </si>
  <si>
    <t>z69.34793638010872 y295.9202335413731 x195.40334205758003</t>
  </si>
  <si>
    <t>z69.31050204349042 y295.8794006467658 x195.3422264637115</t>
  </si>
  <si>
    <t>-703.0|-703.0|-459.0|-194.0|-107.0|-70.0|-38.0|-23.0|-26.0|-17.0|-1.0|6.0|8.0|22.0|</t>
  </si>
  <si>
    <t>34.397785383531115|18.661505376344113|37.49068022270641|39.69043101111418|39.45171339563874|38.98980362537762|37.886748120300766|37.07024265644951|35.95692883895134|33.89777195281779|34.19744058500919|33.83227848101268|33.397959183673464|33.57142857142858|</t>
  </si>
  <si>
    <t>46.96343915860525|91.34076479788676|41.62419154190801|27.92564805911346|22.949389091675137|19.99656999192108|17.97596173581635|16.602179327850106|16.011407997849158|13.998409674339506|13.614883001819514|13.675501374593141|13.844427005130074|9.57462633149488|</t>
  </si>
  <si>
    <t>499.0|499.0|269.0|197.0|177.0|163.0|125.0|87.0|80.0|77.0|74.0|74.0|71.0|61.0|</t>
  </si>
  <si>
    <t>24835|4650|4131|3689|3210|2648|2128|1566|1068|763|547|316|98|21|</t>
  </si>
  <si>
    <t>24.73372507095337|4.631037712097168|4.1141541481018065|3.67395658493042|3.1969099044799805|2.637201690673828|2.1193222045898437|1.5596139907836915|1.063644790649414|0.7598885536193848|0.5447693824768066|0.3147113800048828|0.09760036468505859|0.020914363861083984|</t>
  </si>
  <si>
    <t>854269.0|86776.0|154874.0|146418.0|126640.0|103245.0|80623.0|58052.0|38402.0|25864.0|18706.0|10691.0|3273.0|705.0|</t>
  </si>
  <si>
    <t>30.0|30.0|55.0|81.0|90.0|94.0|97.0|98.0|98.0|99.0|100.0|101.0|101.0|103.0|</t>
  </si>
  <si>
    <t>103.98941010670444|102.41333333333317|104.29847494553364|104.51883979398228|104.50000000000009|104.45052870090629|104.33552631578947|104.26245210727959|104.1338951310861|103.94102228047181|103.96160877513712|103.92405063291137|103.92857142857142|103.95238095238095|</t>
  </si>
  <si>
    <t>4.703875329864428|9.137534235210389|4.166440963884289|2.8058597938101855|2.31522793129139|2.0144417468100415|1.8196962031789499|1.681378019934339|1.633524313221693|1.4143738814640936|1.406561916390329|1.39639818682584|1.4516001023501117|1.045452304766673|</t>
  </si>
  <si>
    <t>150.0|150.0|127.0|120.0|118.0|117.0|113.0|109.0|109.0|108.0|108.0|108.0|108.0|107.0|</t>
  </si>
  <si>
    <t>2582577.0|476222.0|430857.0|385570.0|335445.0|276585.0|222026.0|163275.0|111215.0|79307.0|56867.0|32840.0|10185.0|2183.0|</t>
  </si>
  <si>
    <t>Wed Apr 02 16:20:49 CDT 2025</t>
  </si>
  <si>
    <t>34.0 &lt;-&gt; 145.0</t>
  </si>
  <si>
    <t>Cluster(s) of 39104.0 2.0 1.0  voxels is(are) detected. If more than one cluster the texture calculation is only performed on the largest cluster. (size ok &gt;= 64.0vx)</t>
  </si>
  <si>
    <t>z103.0 y236.0 x210.0</t>
  </si>
  <si>
    <t>z99.222611497545 y259.37771072013095 x208.94118248772503</t>
  </si>
  <si>
    <t>z99.28460565407902 y259.4573968392048 x209.1008627621605</t>
  </si>
  <si>
    <t>-664.0|-664.0|-559.0|-501.0|-254.0|-68.0|-115.0|-209.0|-167.0|-4.0|-9.0|-10.0|-9.0|3.0|3.0|-12.0|-5.0|2.0|11.0|</t>
  </si>
  <si>
    <t>64.34784165302814|43.04766839378243|62.68517124576586|68.37484637443703|69.52467836257318|71.5982217282579|71.11420252345515|68.4691126918757|68.29876089949532|67.66556108347169|67.05212355212343|66.20796812748998|66.2455775234132|67.97935103244835|71.13389121338916|73.96941896024458|74.18888888888888|47.31481481481481|18.714285714285715|</t>
  </si>
  <si>
    <t>53.85891190905462|100.38040671576299|59.23217188810079|46.06076448803475|38.64618981826862|33.3524004268279|32.07195629555738|31.632987545988172|27.846976684060365|25.654319190358272|25.103092176129774|24.816822470751585|25.197493468832075|24.90127145213321|25.80630420539338|25.93945515837134|31.912169202513905|36.16465640807133|3.880879344916036|</t>
  </si>
  <si>
    <t>441.0|441.0|327.0|230.0|230.0|217.0|187.0|177.0|168.0|174.0|171.0|140.0|141.0|144.0|139.0|139.0|130.0|121.0|23.0|</t>
  </si>
  <si>
    <t>39104|5790|5314|4882|4275|3599|3091|2671|2179|1809|1554|1255|961|678|478|327|180|54|7|</t>
  </si>
  <si>
    <t>82.21052734375|12.172640991210937|11.171919555664063|10.263701782226562|8.987571716308594|7.566379089355468|6.4983822631835935|5.615392761230469|4.581033630371094|3.803161926269531|3.2670611572265624|2.6384567260742187|2.020364074707031|1.4253973388671874|1.0049261474609374|0.6874703979492187|0.378424072265625|0.1135272216796875|0.01471649169921875|</t>
  </si>
  <si>
    <t>2516258.0|249246.0|333109.0|333806.0|297218.0|257682.0|219814.0|182881.0|148823.0|122407.0|104199.0|83091.0|63662.0|46090.0|34002.0|24188.0|13354.0|2555.0|131.0|</t>
  </si>
  <si>
    <t>34.0|34.0|45.0|50.0|75.0|94.0|89.0|80.0|84.0|100.0|100.0|100.0|100.0|101.0|101.0|99.0|100.0|101.0|102.0|</t>
  </si>
  <si>
    <t>106.98342880523697|104.8514680483593|106.81576966503567|107.38816058992224|107.4961403508772|107.70547374270639|107.66095114849564|107.3964807188318|107.37861404313908|107.32006633499165|107.24710424710419|107.17131474103593|107.18626430801258|107.34808259587017|107.6799163179916|107.95718654434252|107.98888888888891|105.33333333333333|102.71428571428571|</t>
  </si>
  <si>
    <t>5.393139807483735|10.04274338694492|5.927561697229148|4.619602615473201|3.8718261498532676|3.342777302024948|3.2231107388990754|3.17628372941525|2.8017436561263804|2.5742357425839524|2.531794217961937|2.495281176928584|2.5337798363246584|2.4864982032392167|2.594662689057056|2.5969875583154485|3.1989388672719623|3.5901098714230013|0.451753951452625|</t>
  </si>
  <si>
    <t>145.0|145.0|133.0|124.0|124.0|122.0|119.0|118.0|117.0|118.0|118.0|115.0|115.0|115.0|114.0|114.0|114.0|113.0|103.0|</t>
  </si>
  <si>
    <t>4183480.0|607090.0|567619.0|524269.0|459546.0|387632.0|332780.0|286856.0|233978.0|194142.0|166662.0|134500.0|103006.0|72782.0|51471.0|35302.0|19438.0|5688.0|719.0|</t>
  </si>
  <si>
    <t>Wed Apr 02 16:21:24 CDT 2025</t>
  </si>
  <si>
    <t>2_Abdomen/Pelvis_CT</t>
  </si>
  <si>
    <t>28.0 &lt;-&gt; 201.0</t>
  </si>
  <si>
    <t>Cluster(s) of 5.0 37121.0 139.0 547.0  voxels is(are) detected. If more than one cluster the texture calculation is only performed on the largest cluster. (size ok &gt;= 64.0vx)</t>
  </si>
  <si>
    <t>z91.0 y264.0 x430.0</t>
  </si>
  <si>
    <t>z95.91309501360416 y325.6590609089195 x408.33159128256244</t>
  </si>
  <si>
    <t>z95.9017639502549 y325.5699443045435 x408.68602910120796</t>
  </si>
  <si>
    <t>-722.0|-722.0|-551.0|-384.0|-259.0|-134.0|-66.0|-37.0|-40.0|-21.0|-24.0|-13.0|-3.0|-7.0|18.0|23.0|24.0|23.0|30.0|51.0|68.0|</t>
  </si>
  <si>
    <t>50.9781794671484|-23.56204889406288|29.892945239269828|54.02435830277612|61.19670267197272|64.44920287589886|67.06723842195531|69.01394268009301|69.89867256637173|68.79537456008045|67.332957746479|67.46433121019108|67.84927536231883|66.62071917808223|65.2680628272251|64.18044077134981|67.80098280098275|75.8577075098814|82.89542483660132|100.77941176470587|111.58333333333334|</t>
  </si>
  <si>
    <t>73.84659129916928|161.05778774332893|85.72017890838377|47.5444671645027|35.91220851221547|31.611750180000165|29.96182145432457|27.939499052520194|26.6986277531568|25.85049755719853|24.73585778310144|24.330821094364417|24.603120004740326|23.55213138196771|22.27010241764478|22.81134034401682|26.705550666116945|27.883784616634447|25.929558523269755|21.49886836162429|16.964628233801974|</t>
  </si>
  <si>
    <t>1009.0|1009.0|656.0|362.0|191.0|159.0|190.0|180.0|147.0|138.0|135.0|190.0|199.0|175.0|139.0|163.0|174.0|173.0|133.0|134.0|134.0|</t>
  </si>
  <si>
    <t>37121|4295|4054|3818|3518|3199|2915|2582|2260|1989|1775|1570|1380|1168|955|726|407|253|153|68|36|</t>
  </si>
  <si>
    <t>101.16571357727051|11.705146408081054|11.048350067138673|10.405180206298828|9.587591400146485|8.718221969604492|7.944237899780274|7.036714324951172|6.159169006347656|5.420613784790039|4.837400436401367|4.278714752197265|3.760908508300781|3.183145751953125|2.602657699584961|1.9785649108886718|1.1091954803466797|0.6894998931884766|0.4169702911376953|0.18532012939453124|0.09811065673828125|</t>
  </si>
  <si>
    <t>1892361.0|-101199.0|121186.0|206265.0|215290.0|206173.0|195501.0|178194.0|157971.0|136834.0|119516.0|105919.0|93632.0|77813.0|62331.0|46595.0|27595.0|19192.0|12683.0|6853.0|4017.0|</t>
  </si>
  <si>
    <t>28.0|28.0|45.0|62.0|75.0|87.0|94.0|97.0|97.0|98.0|98.0|99.0|100.0|100.0|102.0|103.0|103.0|103.0|104.0|106.0|107.0|</t>
  </si>
  <si>
    <t>105.6492281996709|98.1930151338764|103.5439072520968|105.94552121529613|106.67453098351336|107.0000000000003|107.2662092624356|107.45003872966682|107.53628318584072|107.42131724484655|107.29746478873216|107.29108280254783|107.33188405797092|107.21746575342468|107.09005235602089|106.97382920110189|107.32186732186729|108.12648221343872|108.83006535947716|110.64705882352942|111.72222222222223|</t>
  </si>
  <si>
    <t>7.3891903957807425|16.103369450914542|8.573511663661966|4.766706948375066|3.606195240026229|3.17027456622575|3.015876890328218|2.8122956072474796|2.690858399963725|2.6022514277297373|2.4877093475838246|2.4513060550060604|2.4721634457493815|2.372928746900817|2.23026669393027|2.2981915140585105|2.6788989729387436|2.793238992257098|2.5991221486187523|2.1404006351365013|1.7418239340656554|</t>
  </si>
  <si>
    <t>201.0|201.0|166.0|137.0|120.0|116.0|120.0|119.0|115.0|114.0|114.0|120.0|120.0|118.0|114.0|117.0|118.0|118.0|114.0|114.0|114.0|</t>
  </si>
  <si>
    <t>3921805.0|421739.0|419767.0|404500.0|375281.0|342293.0|312681.0|277436.0|243032.0|213661.0|190453.0|168447.0|148118.0|125230.0|102271.0|77663.0|43680.0|27356.0|16651.0|7524.0|4022.0|</t>
  </si>
  <si>
    <t>BASELINE</t>
  </si>
  <si>
    <t>Wed Apr 02 16:22:40 CDT 2025</t>
  </si>
  <si>
    <t>2_Chest/Abd/Pelvis_CT</t>
  </si>
  <si>
    <t>'R1_#1</t>
  </si>
  <si>
    <t>11.0 &lt;-&gt; 128.0</t>
  </si>
  <si>
    <t>Cluster(s) of 6893.0 1462.0 346.0 1020.0 173.0 1216.0 460.0 1031.0 1592.0 2486.0 266.0 3638.0 2998.0 987.0 130.0 116.0 380.0 3684.0 2102.0 342.0 968.0 428.0 1310.0 116.0 343.0 189.0 249.0 1865.0 1.0 344.0 391.0 525.0 1.0 3512.0  voxels is(are) detected. If more than one cluster the texture calculation is only performed on the largest cluster. (size ok &gt;= 64.0vx)</t>
  </si>
  <si>
    <t>z180.0 y314.0 x305.0</t>
  </si>
  <si>
    <t>z177.99115044247787 y333.21920789206445 x295.52270419265926</t>
  </si>
  <si>
    <t>z178.68699944592757 y332.3735145628059 x298.8998136301818</t>
  </si>
  <si>
    <t>-896.0|-896.0|-522.0|-132.0|-116.0|-64.0|-25.0|-8.0|-6.0|15.0|17.0|29.0|</t>
  </si>
  <si>
    <t>37.44218772667911|2.552307692307704|39.42168674698791|46.79146459747814|44.35842696629216|43.56480218281035|45.42881355932205|47.11479028697572|53.666666666666664|57.27510917030566|58.99999999999999|58.574468085106396|</t>
  </si>
  <si>
    <t>69.67526197589778|122.76574767567246|66.54344777591045|48.6679216761902|42.2126593424475|37.685822852373285|36.394181649192134|31.65452413550398|24.179626154836523|18.83340757028866|19.373007841732292|17.081462741753636|</t>
  </si>
  <si>
    <t>276.0|276.0|259.0|220.0|169.0|165.0|185.0|169.0|136.0|108.0|117.0|106.0|</t>
  </si>
  <si>
    <t>6893|1300|1162|1031|890|733|590|453|324|229|134|47|</t>
  </si>
  <si>
    <t>4.701546424865723|0.8866981506347656|0.7925717315673828|0.703219841003418|0.6070471954345703|0.49996134185791014|0.4024245452880859|0.3089802017211914|0.22099246215820312|0.15619528961181642|0.09139811706542969|0.03205754852294922|</t>
  </si>
  <si>
    <t>258089.0|3318.0|45808.0|48242.0|39479.0|31933.0|26803.0|21343.0|17388.0|13116.0|7906.0|2753.0|</t>
  </si>
  <si>
    <t>11.0|11.0|48.0|87.0|89.0|94.0|98.0|100.0|100.0|102.0|102.0|103.0|</t>
  </si>
  <si>
    <t>104.28942405338763|100.81230769230768|104.49225473321859|105.23181377303578|104.97303370786523|104.89085948158268|105.07627118644068|105.27152317880798|105.88580246913581|106.27947598253277|106.40298507462691|106.38297872340428|</t>
  </si>
  <si>
    <t>6.967433716961061|12.269229901133317|6.668730838166258|4.859978935687812|4.226900584284608|3.768409791696449|3.659574810119976|3.1781548262085026|2.438613431266706|1.899337435749121|1.9551669126940665|1.7570913040053278|</t>
  </si>
  <si>
    <t>128.0|128.0|126.0|123.0|117.0|117.0|119.0|117.0|114.0|111.0|112.0|111.0|</t>
  </si>
  <si>
    <t>718867.0|131056.0|121420.0|108494.0|93426.0|76885.0|61995.0|47688.0|34307.0|24338.0|14258.0|5000.0|</t>
  </si>
  <si>
    <t>Wed Apr 02 16:24:16 CDT 2025</t>
  </si>
  <si>
    <t>9.0 &lt;-&gt; 141.0</t>
  </si>
  <si>
    <t>Cluster(s) of 186841.0 1.0 1.0  voxels is(are) detected. If more than one cluster the texture calculation is only performed on the largest cluster. (size ok &gt;= 64.0vx)</t>
  </si>
  <si>
    <t>z110.0 y274.0 x221.0</t>
  </si>
  <si>
    <t>z123.61761069572523 y297.1648567498568 x181.10834345780637</t>
  </si>
  <si>
    <t>z123.55231968661134 y296.9806271712943 x181.15745765124754</t>
  </si>
  <si>
    <t>-912.0|-912.0|-746.0|-521.0|-439.0|-348.0|-512.0|-590.0|-435.0|-446.0|-516.0|-378.0|-319.0|-298.0|-546.0|-527.0|-120.0|-20.0|-35.0|-8.0|-13.0|-21.0|-7.0|0.0|-5.0|1.0|-5.0|-1.0|9.0|20.0|28.0|</t>
  </si>
  <si>
    <t>45.75084162469765|-23.437812358019052|33.41300179748364|50.77463987869592|53.785589107576065|53.19666739750054|52.309630102040984|52.353043327255364|53.326963301007794|54.38088250707459|55.309336722902685|56.979393318827526|58.26391840204009|59.07990617670063|58.677977960468624|58.505331753554636|58.86215370866839|59.0894056847546|59.896417910447816|60.11912225705333|60.87212703719187|61.45012658227843|61.019342359767926|57.59965635738828|56.40807799442896|57.97544642857143|55.49800796812749|51.308219178082204|48.91578947368424|51.98148148148148|54.99999999999999|</t>
  </si>
  <si>
    <t>60.39322540789243|138.28838742078634|67.49948857122018|43.9206566451307|38.94766742679319|35.64390188488872|34.62672143169302|34.19590035511224|30.557603317013|28.8040662870401|30.962894261940793|30.267322317084794|29.00845048856304|28.67211902482143|31.90336597896902|29.872821052039246|25.458037934037797|23.993275681768903|24.530718220679265|23.694762049558406|23.734540316643283|25.274180926450697|23.448276613927373|21.777053717397866|21.219224253527592|20.78454149071546|20.31531804885741|18.78193720897352|16.56671562144997|15.004308937571954|15.077577170531523|</t>
  </si>
  <si>
    <t>407.0|407.0|242.0|247.0|210.0|186.0|183.0|182.0|197.0|198.0|171.0|190.0|259.0|242.0|201.0|211.0|161.0|149.0|154.0|150.0|152.0|170.0|167.0|138.0|142.0|123.0|113.0|99.0|97.0|88.0|73.0|</t>
  </si>
  <si>
    <t>186841|17608|16690|15828|14836|13683|12544|11517|10518|9541|8654|7813|7059|6395|5717|5064|4476|3870|3350|2871|2393|1975|1551|1164|718|448|251|146|95|54|12|</t>
  </si>
  <si>
    <t>174.62175369262695|16.456451416015625|15.598487854003906|14.792861938476562|13.865737915039062|12.788143157958984|11.7236328125|10.763797760009766|9.830131530761719|8.91702651977539|8.088035583496094|7.302036285400391|6.597347259521484|5.976772308349609|5.343112945556641|4.732818603515625|4.1832733154296875|3.6169052124023438|3.1309127807617188|2.683238983154297|2.236499786376953|1.8458366394042969|1.4495658874511719|1.0878753662109375|0.6710433959960938|0.418701171875|0.23458480834960938|0.13645172119140625|0.08878707885742188|0.05046844482421875|0.0112152099609375|</t>
  </si>
  <si>
    <t>8548133.0|-412693.0|557663.0|803661.0|797963.0|727890.0|656172.0|602950.0|560893.0|518848.0|478647.0|445180.0|411285.0|377816.0|335462.0|296271.0|263467.0|228676.0|200653.0|172602.0|145667.0|121364.0|94641.0|67046.0|40501.0|25973.0|13930.0|7491.0|4647.0|2807.0|660.0|</t>
  </si>
  <si>
    <t>9.0|9.0|26.0|48.0|57.0|66.0|49.0|42.0|57.0|56.0|49.0|63.0|69.0|71.0|46.0|48.0|89.0|99.0|97.0|100.0|99.0|98.0|100.0|101.0|100.0|101.0|100.0|100.0|101.0|103.0|103.0|</t>
  </si>
  <si>
    <t>105.12490834452923|98.20638346206243|103.88711803475114|105.63046499873631|105.92693448368838|105.87327340495533|105.77917729591799|105.7842320048622|105.88629016923451|105.98679383712431|106.0788074878669|106.24638423140917|106.37186570335741|106.45660672400348|106.41577750568473|106.40343601895731|106.43811438784623|106.46124031007763|106.5453731343282|106.56600487634975|106.63058921855406|106.6967088607595|106.65119277885229|106.30412371134032|106.20473537604458|106.35714285714283|106.08764940239043|105.66438356164386|105.41052631578944|105.83333333333336|106.08333333333333|</t>
  </si>
  <si>
    <t>6.0459580845351715|13.831156354507849|6.755116252798597|4.400613870507335|3.904173653710624|3.5740489125344714|3.4737802640866597|3.432030409003088|3.069580415126611|2.8977678636680255|3.110852599107816|3.0426111231151767|2.9125919776772538|2.879783361181134|3.204004645803717|3.0025916995410586|2.567056784998517|2.4219968509204555|2.4741410862160116|2.3875068190150834|2.3825035090912987|2.544721875091082|2.347927367458823|2.1993321788228086|2.1330741739018175|2.113338349529443|2.0782229931728278|1.8809695738666201|1.6764293938204966|1.4999999999999982|1.7057907908715604|</t>
  </si>
  <si>
    <t>141.0|141.0|125.0|125.0|122.0|119.0|119.0|119.0|120.0|120.0|118.0|120.0|126.0|125.0|121.0|122.0|117.0|115.0|116.0|116.0|116.0|118.0|117.0|114.0|115.0|113.0|112.0|110.0|110.0|109.0|108.0|</t>
  </si>
  <si>
    <t>1.9641643E7|1729218.0|1733876.0|1671919.0|1571532.0|1448664.0|1326894.0|1218317.0|1113712.0|1011220.0|918006.0|830103.0|750879.0|680790.0|608379.0|538827.0|476417.0|412005.0|356927.0|305951.0|255167.0|210726.0|165416.0|123738.0|76255.0|47648.0|26628.0|15427.0|10014.0|5715.0|1273.0|</t>
  </si>
  <si>
    <t>Wed Apr 02 16:38:27 CDT 2025</t>
  </si>
  <si>
    <t>7_Flash PE_CT</t>
  </si>
  <si>
    <t>Absolute bounds: -1000.0 &lt;-&gt; 300.0</t>
  </si>
  <si>
    <t>1.0 &lt;-&gt; 131.0</t>
  </si>
  <si>
    <t>Cluster(s) of 12391.0  voxels is(are) detected. If more than one cluster the texture calculation is only performed on the largest cluster. (size ok &gt;= 64.0vx)</t>
  </si>
  <si>
    <t>z110.0 y253.0 x191.0</t>
  </si>
  <si>
    <t>z109.93180534258737 y274.0899039625535 x195.30869179242998</t>
  </si>
  <si>
    <t>z109.94559607294511 y274.05457400613034 x195.28966446398329</t>
  </si>
  <si>
    <t>-1024.0|-752.5441284179688|-460.0352783203125|-108.87321472167969|-639.044677734375|-997.6802978515625|-1024.0|-1024.0|-43.11307907104492|-10.171589851379395|-3.778218984603882|4.297897815704346|18.273157119750977|</t>
  </si>
  <si>
    <t>39.702661223428485|27.386344378276274|44.17289997816024|44.69406320374627|46.49878706883966|42.229373029258745|34.49920730517904|34.02820579307248|57.51879505428743|59.70328258128227|63.509590826782535|48.74829979503857|24.147207260131836|</t>
  </si>
  <si>
    <t>76.90782018647059|98.44455426564289|48.21267722456976|39.419340248981825|45.146864527504526|78.4616037360066|123.26913458336782|143.55331108873818|31.847835547850263|30.17506504505228|27.002353751778237|28.774843334340687|5.591799469415782|</t>
  </si>
  <si>
    <t>878.3118896484375|878.3118896484375|285.9639892578125|204.07936096191406|183.37623596191406|159.1693115234375|221.634765625|141.52723693847656|165.5806121826172|151.41844177246094|110.74433135986328|121.62095642089844|31.669424057006836|</t>
  </si>
  <si>
    <t>12391|3086|2730|2134|1545|1132|796|495|283|119|51|17|3|</t>
  </si>
  <si>
    <t>61.955|15.43|13.65|10.67|7.725|5.66|3.98|2.475|1.415|0.595|0.255|0.085|0.015|</t>
  </si>
  <si>
    <t>491955.6752195023|84514.2587513607|120592.01694037765|95377.13087679446|71840.62602135725|47803.65026912093|27461.36901492253|16843.961867570877|16277.81900036335|7104.690627172589|3238.989132165909|828.7210965156555|72.44162178039551|</t>
  </si>
  <si>
    <t>1.0|25.0|55.0|90.0|37.0|1.0|1.0|1.0|97.0|100.0|101.0|102.0|103.0|</t>
  </si>
  <si>
    <t>105.26228714389464|103.99319507453009|105.72234432234437|105.7708528584817|105.95792880258902|105.51678445229678|104.7562814070352|104.70101010101004|107.08480565371018|107.3109243697479|107.64705882352942|106.23529411764706|103.66666666666667|</t>
  </si>
  <si>
    <t>7.683113232208362|9.747739440761583|4.871519119685024|3.990672527300236|4.543373521881313|7.910312246487581|12.33884653890954|14.34550219835926|3.246071104028096|3.0451722341201855|2.756977098568284|3.0201170948219858|0.47140452079103334|</t>
  </si>
  <si>
    <t>131.0|131.0|130.0|122.0|120.0|117.0|124.0|116.0|118.0|117.0|112.0|114.0|104.0|</t>
  </si>
  <si>
    <t>1304305.0|320923.0|288622.0|225715.0|163705.0|119445.0|83386.0|51827.0|30305.0|12770.0|5490.0|1806.0|311.0|</t>
  </si>
  <si>
    <t>BASLINE CT</t>
  </si>
  <si>
    <t>Wed Apr 02 16:27:05 CDT 2025</t>
  </si>
  <si>
    <t>1.0 &lt;-&gt; 400.0</t>
  </si>
  <si>
    <t>Cluster(s) of 237769.0 6.0 1.0 2.0 14301.0 3.0  voxels is(are) detected. If more than one cluster the texture calculation is only performed on the largest cluster. (size ok &gt;= 64.0vx)</t>
  </si>
  <si>
    <t>z139.0 y205.0 x202.0</t>
  </si>
  <si>
    <t>z133.66035942448343 y251.2598866967519 x192.36094276377491</t>
  </si>
  <si>
    <t>z133.7053629882222 y251.43836286574322 x192.47713499988623</t>
  </si>
  <si>
    <t>-1018.0|-1018.0|-1016.0|-1012.0|-816.0|-458.0|-273.0|-370.0|-325.0|-234.0|-288.0|-221.0|-249.0|-169.0|-130.0|-133.0|-94.0|-92.0|-114.0|-103.0|-94.0|-104.0|-92.0|-90.0|-91.0|-52.0|-59.0|-7.0|6.0|</t>
  </si>
  <si>
    <t>44.231821642014005|-12.238456330399613|35.93014376620331|55.65653286107831|59.7990030635029|58.89543315804038|56.36091162680252|54.44529762660236|52.80012304327026|51.28964437486025|50.48558994991344|49.60860450277992|48.60622994929109|47.36862606232305|45.51888073892971|42.96770107663068|41.36236538824856|38.47330316742076|36.6162592382036|35.95051001133349|33.839937434827995|32.431802120141235|28.183946488294314|22.998011928429424|23.622302158273396|28.326923076923084|31.535211267605636|25.88888888888889|6.0|</t>
  </si>
  <si>
    <t>90.19801192129806|204.57312031223952|127.55102891133569|85.24224800972462|67.46442791385027|57.862221932785474|52.9832869483503|49.74054165473815|46.753267695199526|44.80282916513875|44.140173213199446|42.36529139763957|42.129166589530556|42.189774533245924|42.56570081146897|40.25096895804339|38.48515207855136|37.14185796471397|37.036435319945625|37.17782402824884|38.33266290321557|37.40918018985105|37.53702963758245|39.6603120751773|37.37546908955253|35.496147039292985|31.388448124422958|16.15855084566988|0.0|</t>
  </si>
  <si>
    <t>3067.0|3067.0|2094.0|625.0|614.0|561.0|465.0|414.0|425.0|414.0|388.0|333.0|391.0|460.0|515.0|476.0|292.0|190.0|162.0|159.0|166.0|153.0|126.0|137.0|108.0|106.0|90.0|49.0|6.0|</t>
  </si>
  <si>
    <t>237769|22155|21215|20328|19259|18065|16849|15758|14629|13413|12179|10971|9663|8472|7362|6316|5293|4420|3518|2647|1918|1415|897|503|278|156|71|18|1|</t>
  </si>
  <si>
    <t>109.73451498413085|10.224916534423828|9.791090240478516|9.381724365234374|8.888362335205079|8.337310638427734|7.776105560302734|7.272590148925781|6.751537078857422|6.190332000732422|5.620819610595703|5.063306671142578|4.459641998291016|3.909974853515625|3.3976906127929687|2.9149434814453126|2.442811248779297|2.0399066162109376|1.6236179809570312|1.2216363830566406|0.8851902465820313|0.6530470275878906|0.4139810485839844|0.23214321899414062|0.12830181884765626|0.0719967041015625|0.03276773071289062|0.00830731201171875|4.61517333984375E-4|</t>
  </si>
  <si>
    <t>1.0516956E7|-271143.0|762258.0|1131386.0|1151669.0|1063946.0|949625.0|857949.0|772413.0|687948.0|614864.0|544256.0|469682.0|401307.0|335110.0|271384.0|218931.0|170052.0|128816.0|95161.0|64905.0|45891.0|25281.0|11568.0|6567.0|4419.0|2239.0|466.0|6.0|</t>
  </si>
  <si>
    <t>1.0|1.0|1.0|1.0|19.0|55.0|73.0|64.0|68.0|77.0|72.0|78.0|76.0|84.0|88.0|87.0|91.0|91.0|89.0|90.0|91.0|90.0|91.0|92.0|91.0|95.0|95.0|100.0|101.0|</t>
  </si>
  <si>
    <t>104.97378548086739|99.32872940645464|104.14584020740013|106.11742424242394|106.53201100784035|106.43952394132332|106.18458068728117|105.99454245462617|105.82883313965456|105.68224856482546|105.59717546596586|105.50852246832589|105.40825830487375|105.29320113314431|105.10092366204817|104.84293856871399|104.6873228792745|104.39457013574639|104.21063104036391|104.13562523611611|103.94316996871764|103.80353356890457|103.36120401337799|102.85884691848902|102.92086330935253|103.34615384615387|103.71830985915496|103.05555555555556|101.0|</t>
  </si>
  <si>
    <t>9.021560626644005|20.448274449205336|12.758207111923591|8.527275001191944|6.7542173074607215|5.7943260368394585|5.305761412294841|4.980808011605838|4.684315542104675|4.488740549775658|4.42061230935161|4.245346320010998|4.222033111164533|4.229037738843392|4.260404649201617|4.029266647691897|3.8653786807489445|3.72431990460921|3.7139367839552846|3.7202064432560196|3.845884378943199|3.738764778933637|3.7735466462880645|3.9858043659671583|3.761915837108579|3.5602035489090644|3.171986086818987|1.6823337699696337|0.0|</t>
  </si>
  <si>
    <t>400.0|400.0|310.0|163.0|162.0|157.0|147.0|142.0|143.0|142.0|139.0|134.0|140.0|147.0|152.0|148.0|130.0|120.0|117.0|116.0|117.0|116.0|113.0|114.0|111.0|111.0|110.0|105.0|101.0|</t>
  </si>
  <si>
    <t>2.4959512E7|2200628.0|2209454.0|2157155.0|2051700.0|1922830.0|1789104.0|1670262.0|1548170.0|1417516.0|1286068.0|1157534.0|1018560.0|892044.0|773753.0|662188.0|554110.0|461424.0|366613.0|275647.0|199363.0|146882.0|92715.0|51738.0|28612.0|16122.0|7364.0|1855.0|101.0|</t>
  </si>
  <si>
    <t>Wed Apr 02 16:28:37 CDT 2025</t>
  </si>
  <si>
    <t>1.0 &lt;-&gt; 240.0</t>
  </si>
  <si>
    <t>Cluster(s) of 2298.0 638.0 181.0 247865.0 3.0 1.0 1.0 1.0 1.0  voxels is(are) detected. If more than one cluster the texture calculation is only performed on the largest cluster. (size ok &gt;= 64.0vx)</t>
  </si>
  <si>
    <t>z302.0 y263.0 x192.0</t>
  </si>
  <si>
    <t>z313.59849514856876 y258.99705081395115 x186.9924757428439</t>
  </si>
  <si>
    <t>z313.62589530903546 y258.84650486293526 x187.0215330859954</t>
  </si>
  <si>
    <t>-1012.0|-1012.0|-815.0|-651.0|-601.0|-743.0|-612.0|-332.0|-150.0|-150.0|-221.0|-230.0|-105.0|-14.0|7.0|6.0|-16.0|-2.0|14.0|11.0|-3.0|16.0|8.0|10.0|18.0|15.0|-4.0|22.0|19.0|17.0|5.0|12.0|21.0|13.0|19.0|14.0|21.0|18.0|27.0|13.0|8.0|15.0|26.0|31.0|</t>
  </si>
  <si>
    <t>66.37760071006237|-15.89651112350493|48.052152585038364|70.6690748545057|74.76161856174406|74.53939438483008|73.94629255401848|74.40077532167622|74.83950078547737|75.46108118149691|75.61876109686392|76.01430524876416|76.27433131040657|76.96301141769756|78.83409436834035|79.83454620348732|79.67801950487609|77.70008110300076|74.91530718500536|74.4874723655122|73.52529411764728|73.20326716294457|72.72157466461381|71.69593956562797|70.75217391304334|70.40860215053742|69.9918870192307|68.82768924302808|67.64197080291959|66.23299389002038|65.05911778080963|64.49999999999999|63.44574780058643|61.5850104094379|59.89081455805884|58.99687825182102|57.42455242966749|57.64159999999995|57.821946169772254|56.12894736842103|58.1654411764706|57.345029239766085|57.11827956989246|59.20833333333334|</t>
  </si>
  <si>
    <t>62.626398436501375|182.06345157983677|91.1003285110378|44.93629618304286|30.696594823237156|28.7129886707107|25.182211601457734|21.25059362749541|19.47059368183112|19.51486949092705|19.25266149174241|21.386494458123277|22.84933441716918|26.75461469161399|42.57601462369587|53.53048978186733|52.76453523459904|47.018393753608954|16.028375729171557|15.793913574263815|15.822741991487476|15.657357733505332|16.220681718113834|15.47446318607523|15.5231438180328|16.161905292661892|16.632777071849766|17.252168202142336|16.841768694477175|15.89946427891135|16.865143555916205|16.80330726943116|15.759952060743188|15.71263092083683|14.492221143999354|13.242514648241954|13.425033331070205|13.523888103648291|13.73866461957615|12.883351310789825|15.438154028424616|16.030789686774664|12.52683095656335|14.622981817065293|</t>
  </si>
  <si>
    <t>1390.0|591.0|431.0|682.0|839.0|826.0|616.0|298.0|163.0|160.0|196.0|700.0|786.0|836.0|1319.0|1390.0|1067.0|1193.0|182.0|159.0|172.0|136.0|259.0|187.0|135.0|129.0|121.0|173.0|154.0|127.0|136.0|139.0|135.0|110.0|107.0|110.0|104.0|107.0|114.0|100.0|106.0|108.0|86.0|84.0|</t>
  </si>
  <si>
    <t>247865|16137|15493|14949|14309|13606|12866|12124|11458|10766|10138|9507|8898|8408|7884|7283|6665|6165|5762|5428|5100|4836|4547|4236|3910|3627|3328|3012|2740|2455|2199|1938|1705|1441|1154|961|782|625|483|380|272|171|93|24|</t>
  </si>
  <si>
    <t>218.6065216064453|14.232156372070312|13.664175415039063|13.184390258789062|12.619937133789062|11.999920654296876|11.347271728515626|10.69285888671875|10.105474853515625|9.495159912109376|8.941290283203125|8.384774780273437|7.847662353515625|7.4155029296875|6.95335693359375|6.423300170898438|5.8782501220703125|5.4372711181640625|5.081842041015625|4.78726806640625|4.49798583984375|4.26514892578125|4.010263061523437|3.73597412109375|3.448455810546875|3.1988616943359376|2.93515625|2.65645751953125|2.41656494140625|2.1652069091796875|1.9394256591796875|1.709234619140625|1.5037384033203125|1.2709014892578125|1.017779541015625|0.8475616455078125|0.689691162109375|0.5512237548828125|0.4259857177734375|0.33514404296875|0.239892578125|0.1508148193359375|0.0820220947265625|0.0211669921875|</t>
  </si>
  <si>
    <t>1.6452684E7|-256522.0|744472.0|1056432.0|1069764.0|1014183.0|951393.0|902035.0|857511.0|812414.0|766623.0|722668.0|678689.0|647105.0|621528.0|581435.0|531054.0|479021.0|431662.0|404318.0|374979.0|354011.0|330665.0|303704.0|276641.0|255372.0|232933.0|207309.0|185339.0|162602.0|143065.0|125001.0|108175.0|88744.0|69114.0|56696.0|44906.0|36026.0|27928.0|21329.0|15821.0|9806.0|5312.0|1421.0|</t>
  </si>
  <si>
    <t>1.0|1.0|19.0|35.0|40.0|26.0|39.0|67.0|86.0|86.0|78.0|78.0|90.0|99.0|101.0|101.0|99.0|100.0|102.0|102.0|100.0|102.0|101.0|102.0|102.0|102.0|100.0|103.0|102.0|102.0|101.0|102.0|103.0|102.0|102.0|102.0|103.0|102.0|103.0|102.0|101.0|102.0|103.0|104.0|</t>
  </si>
  <si>
    <t>107.18836463397386|98.95817066369172|105.35667720906169|107.6181684393606|108.02550842127337|108.00551227399674|107.94535986320523|107.99067964368119|108.03517193227432|108.10003715400364|108.11244821463796|108.14915325549593|108.17487075747363|108.24405328258781|108.43455098934542|108.54029932720034|108.51432858214572|108.32408759124088|108.04078444984368|108.00571112748706|107.90176470588212|107.86517783291971|107.8242797448867|107.72497639282311|107.61943734015348|107.59470636889999|107.54897836538481|107.43293492695898|107.31897810218989|107.17230142566186|107.05002273760803|107.01289989680083|106.89501466275657|106.70506592643984|106.53379549393415|106.45785639958366|106.30051150895144|106.31040000000006|106.33126293995858|106.15263157894742|106.38235294117649|106.26900584795322|106.31182795698922|106.5|</t>
  </si>
  <si>
    <t>6.269143017274254|18.20600677943816|9.11648904670774|4.503961772379723|3.07916933072798|2.8799869871690045|2.5392395103320093|2.142713147031893|1.9710955871969897|1.9715433278394066|1.9487872266351896|2.1573843942128654|2.3043808167665847|2.691813775419422|4.267014295533577|5.35929863458428|5.283797107292111|4.712091622654641|1.6289539861235527|1.6035162492635247|1.6151114887546505|1.5976678585492825|1.6482257834280234|1.5697955739263096|1.5701599412030163|1.6457930563096625|1.6929236671513586|1.7573080999215034|1.7082040274863233|1.619901243745681|1.7084570822908045|1.6923730907568322|1.6061114266267604|1.5905805788730847|1.4821824438977709|1.3794022081334654|1.374028275747252|1.37972890090771|1.3913351569101868|1.3289760288728127|1.5674014817028505|1.6430355073242906|1.2698191779126515|1.5275252316519452|</t>
  </si>
  <si>
    <t>240.0|160.0|144.0|169.0|184.0|183.0|162.0|130.0|117.0|117.0|120.0|171.0|179.0|184.0|232.0|240.0|207.0|220.0|119.0|116.0|118.0|114.0|126.0|119.0|114.0|113.0|113.0|118.0|116.0|113.0|114.0|114.0|114.0|112.0|111.0|112.0|111.0|111.0|112.0|111.0|111.0|111.0|109.0|109.0|</t>
  </si>
  <si>
    <t>2.6568244E7|1596888.0|1632291.0|1608784.0|1545737.0|1469523.0|1388825.0|1309279.0|1237867.0|1163805.0|1096044.0|1028174.0|962540.0|910116.0|854898.0|790499.0|723248.0|667818.0|622531.0|586255.0|550299.0|521636.0|490277.0|456323.0|420792.0|390246.0|357923.0|323588.0|294054.0|263108.0|235403.0|207391.0|182256.0|153762.0|122940.0|102306.0|83127.0|66444.0|51358.0|40338.0|28936.0|18172.0|9887.0|2556.0|</t>
  </si>
  <si>
    <t>Wed Apr 02 16:30:06 CDT 2025</t>
  </si>
  <si>
    <t>2_CHEST W  5.0_CT</t>
  </si>
  <si>
    <t>20.0 &lt;-&gt; 153.0</t>
  </si>
  <si>
    <t>Cluster(s) of 33903.0  voxels is(are) detected. If more than one cluster the texture calculation is only performed on the largest cluster. (size ok &gt;= 64.0vx)</t>
  </si>
  <si>
    <t>z52.0 y298.0 x224.0</t>
  </si>
  <si>
    <t>z47.01462997374863 y314.1416983747751 x226.2604489278235</t>
  </si>
  <si>
    <t>z46.99284810851622 y314.05521730861227 x226.26626052212367</t>
  </si>
  <si>
    <t>-805.0|-805.0|-749.0|-626.0|-328.0|-119.0|-131.0|-110.0|-83.0|-64.0|-59.0|4.0|-35.0|-59.0|-16.0|13.0|12.0|-1.0|10.0|9.0|11.0|7.0|-11.0|5.0|5.0|</t>
  </si>
  <si>
    <t>50.60484322921292|13.61770623742459|46.90686881188122|54.11873350923487|56.91616125579725|57.62413528055327|58.11464435146439|57.55268109125117|57.82469911041334|58.18361417780362|58.311528497409306|58.42753623188413|57.9431279620853|56.29850746268658|54.67475728155336|53.34886240520039|51.849009900990126|49.50436046511629|48.25978647686838|45.03619909502263|43.01719197707738|43.29032258064517|39.90344827586208|34.797101449275374|43.642857142857146|</t>
  </si>
  <si>
    <t>49.5774889748682|110.06076289474193|72.75027850205358|48.456285742382825|31.285351308990847|25.31816302689154|24.148153142369296|22.15327177819858|20.47198535321997|19.33658531439929|17.464789796553216|16.745749052256567|17.290974762150697|16.887441954097653|16.17387452573123|15.196212759692415|15.17927436693971|15.769505590466038|14.155722103863505|13.895979171574485|12.947977997948222|14.064525377327529|16.092544488345943|14.134529321298094|17.227913988877564|</t>
  </si>
  <si>
    <t>528.0|528.0|451.0|209.0|169.0|145.0|140.0|142.0|121.0|118.0|120.0|108.0|115.0|100.0|94.0|99.0|98.0|96.0|87.0|81.0|82.0|102.0|87.0|69.0|68.0|</t>
  </si>
  <si>
    <t>33903|3479|3232|3032|2803|2602|2390|2126|1911|1721|1544|1380|1266|1139|1030|923|808|688|562|442|349|248|145|69|14|</t>
  </si>
  <si>
    <t>92.39571098327637|9.48130485534668|8.80815673828125|8.263097534179687|7.6390047454833985|7.0912202453613284|6.513457489013672|5.793979339599609|5.20804069519043|4.690234451293946|4.207857055664062|3.760908508300781|3.4502247619628905|3.1041121673583985|2.807054901123047|2.515448226928711|2.2020391845703124|1.875003662109375|1.5316163635253905|1.2045808410644532|0.9511283111572265|0.6758734130859375|0.3951679229736328|0.18804542541503907|0.03815414428710937|</t>
  </si>
  <si>
    <t>1715656.0|47376.0|151603.0|164088.0|159536.0|149938.0|138894.0|122357.0|110503.0|100134.0|90033.0|80630.0|73356.0|64124.0|56315.0|49241.0|41894.0|34059.0|27122.0|19906.0|15013.0|10736.0|5786.0|2401.0|611.0|</t>
  </si>
  <si>
    <t>20.0|20.0|26.0|38.0|68.0|89.0|87.0|90.0|92.0|94.0|95.0|101.0|97.0|95.0|99.0|102.0|102.0|100.0|102.0|101.0|102.0|101.0|99.0|101.0|101.0|</t>
  </si>
  <si>
    <t>105.60982803881704|101.90342052313896|105.24071782178184|105.967018469657|106.23581876560833|106.31552651806297|106.35523012552301|106.30620884289733|106.32443746729476|106.36257989540957|106.39183937823827|106.3891304347828|106.35229067930497|106.18173836698867|106.02330097087376|105.87757313109425|105.74504950495063|105.49999999999997|105.37544483985766|105.0520361990951|104.87965616045844|104.87903225806447|104.53793103448272|104.01449275362322|104.85714285714286|</t>
  </si>
  <si>
    <t>4.967537022664395|11.00933191784651|7.278212466839269|4.864479441807137|3.1427633945003417|2.549732298096469|2.433673259255713|2.2414946426347666|2.0632145807489874|1.9570861051100652|1.764271410953075|1.699112504170147|1.7625376553695518|1.7009474605108246|1.6409329505654653|1.5505794407838744|1.5516998815175955|1.6021424609304493|1.4513346041069781|1.4236235452849266|1.3488247656892067|1.465147476533225|1.631672252651048|1.4294293340217912|1.6413036132965813|</t>
  </si>
  <si>
    <t>153.0|153.0|146.0|121.0|117.0|115.0|115.0|115.0|113.0|112.0|113.0|111.0|112.0|111.0|110.0|110.0|110.0|110.0|109.0|109.0|109.0|111.0|109.0|107.0|107.0|</t>
  </si>
  <si>
    <t>3580490.0|354522.0|340138.0|321292.0|297779.0|276633.0|254189.0|226007.0|203186.0|183050.0|164269.0|146817.0|134642.0|120941.0|109204.0|97725.0|85442.0|72584.0|59221.0|46433.0|36603.0|26010.0|15158.0|7177.0|1468.0|</t>
  </si>
  <si>
    <t>Wed Apr 02 16:30:45 CDT 2025</t>
  </si>
  <si>
    <t>4_Soft Tissue_CT</t>
  </si>
  <si>
    <t>3.0 &lt;-&gt; 140.0</t>
  </si>
  <si>
    <t>Cluster(s) of 73570.0  voxels is(are) detected. If more than one cluster the texture calculation is only performed on the largest cluster. (size ok &gt;= 64.0vx)</t>
  </si>
  <si>
    <t>z105.0 y219.0 x352.0</t>
  </si>
  <si>
    <t>z101.61787413347832 y247.0569253771918 x326.4872910153595</t>
  </si>
  <si>
    <t>z101.59389413476222 y247.13670614483908 x326.45813256863534</t>
  </si>
  <si>
    <t>-972.0|-972.0|-849.0|-591.0|-440.0|-495.0|-571.0|-252.0|-324.0|-298.0|-417.0|-38.0|-125.0|-128.0|-199.0|-203.0|-52.0|-11.0|-23.0|-25.0|-14.0|-8.0|-13.0|-13.0|6.0|9.0|</t>
  </si>
  <si>
    <t>25.73133070545064|-59.18464237795421|8.05360590573538|35.036104329949936|43.03834894613585|42.76224832214767|43.032282859338885|44.604152860614185|45.479150871872584|45.28913171884226|46.742551054569795|46.962795941375454|46.78220338983049|46.6917545541707|46.80830489192264|47.879668049792556|48.02428447528183|46.62205567451818|47.089932885906|45.44035087719302|45.20430107526881|43.66509433962263|39.7032967032967|25.666666666666668|26.5|12.5|</t>
  </si>
  <si>
    <t>83.07505294253191|166.8260545214949|94.39636532936474|55.96396306419526|40.41260765190967|39.087237025667974|38.10109478233576|28.687513194449078|26.24949560845865|26.269503429065832|24.75656518662527|20.409407134602034|20.996085718153658|21.429104479225416|22.257930528590762|21.838604870360278|18.15771992142037|18.25678090132889|17.731289391508692|17.501602529624407|17.940048992264135|17.668757964553365|19.191627355706938|17.398914397807186|14.563898614627295|3.5|</t>
  </si>
  <si>
    <t>393.0|393.0|222.0|159.0|161.0|172.0|173.0|151.0|153.0|134.0|157.0|148.0|130.0|164.0|133.0|127.0|152.0|119.0|98.0|101.0|105.0|87.0|85.0|63.0|59.0|16.0|</t>
  </si>
  <si>
    <t>73570|9689|8805|7783|6832|5960|5204|4527|3957|3386|2987|2661|2360|2086|1758|1446|1153|934|745|570|372|212|91|36|14|2|</t>
  </si>
  <si>
    <t>82.33573707580567|10.843427436828613|9.854100379943848|8.710330863952636|7.646020874023438|6.670123596191406|5.8240475158691405|5.066384147644043|4.42846964263916|3.789435989379883|3.342895835876465|2.9780535049438477|2.6411898803710936|2.3345432586669923|1.9674626312255858|1.6182883758544921|1.2903779373168944|1.0452844696044923|0.8337654495239257|0.6379145050048828|0.4163231506347656|0.23725942993164062|0.10184249114990235|0.040289337158203126|0.01566807556152344|0.0022382965087890624|</t>
  </si>
  <si>
    <t>1893054.0|-573440.0|70912.0|272686.0|294038.0|254863.0|223940.0|201923.0|179961.0|153349.0|139620.0|124968.0|110406.0|97399.0|82289.0|69234.0|55372.0|43545.0|35082.0|25901.0|16816.0|9257.0|3613.0|924.0|371.0|25.0|</t>
  </si>
  <si>
    <t>3.0|3.0|16.0|41.0|57.0|51.0|43.0|75.0|68.0|71.0|59.0|97.0|88.0|88.0|81.0|80.0|95.0|99.0|98.0|98.0|99.0|100.0|99.0|99.0|101.0|101.0|</t>
  </si>
  <si>
    <t>103.12148973766533|94.62947672618415|101.35025553662695|104.05344982654525|104.85597189695561|104.82416107382576|104.8539584934665|105.01303291362937|105.08996714682849|105.06940342587095|105.22464010713067|105.24163848177388|105.22711864406782|105.21907957813991|105.21729237770194|105.34301521438454|105.35993061578502|105.220556745182|105.26040268456386|105.09298245614033|105.09139784946238|104.91037735849055|104.5274725274725|103.1388888888889|103.0|101.5|</t>
  </si>
  <si>
    <t>8.31222982534531|16.685335947915707|9.437921815281864|5.601982965027141|4.055749459805072|3.922609578704082|3.821512804922282|2.88404242299126|2.6435043336304416|2.6479098397544676|2.485058563828274|2.058668481666434|2.114544508268623|2.158272523147962|2.251657752557389|2.2092888984549504|1.8319769260168524|1.854032387150881|1.78339916718692|1.7888896535769503|1.8322766796974495|1.7794651117725409|1.9742332457402088|1.7818962711077369|1.4638501094227998|0.5|</t>
  </si>
  <si>
    <t>140.0|140.0|123.0|116.0|117.0|118.0|118.0|116.0|116.0|114.0|116.0|115.0|114.0|117.0|114.0|113.0|116.0|112.0|110.0|111.0|111.0|109.0|109.0|107.0|106.0|102.0|</t>
  </si>
  <si>
    <t>7586648.0|916865.0|892389.0|809848.0|716376.0|624752.0|545660.0|475394.0|415841.0|355765.0|314306.0|280048.0|248336.0|219487.0|184972.0|152326.0|121480.0|98276.0|78419.0|59903.0|39094.0|22241.0|9512.0|3713.0|1442.0|203.0|</t>
  </si>
  <si>
    <t>Wed Apr 02 16:31:49 CDT 2025</t>
  </si>
  <si>
    <t>1.0 &lt;-&gt; 163.0</t>
  </si>
  <si>
    <t>Cluster(s) of 67280.0  voxels is(are) detected. If more than one cluster the texture calculation is only performed on the largest cluster. (size ok &gt;= 64.0vx)</t>
  </si>
  <si>
    <t>z89.0 y372.0 x200.0</t>
  </si>
  <si>
    <t>z90.45783293697978 y329.18207491082046 x190.6415428061831</t>
  </si>
  <si>
    <t>z90.43516788655064 y328.9213915482243 x190.62804015230236</t>
  </si>
  <si>
    <t>-1011.0|-938.0|-865.0|-538.0|-409.0|-458.0|-660.0|-1008.0|-1011.0|-973.0|-739.0|-469.0|-724.0|-923.0|-939.0|-957.0|-947.0|-914.0|-865.0|-747.0|-13.0|-11.0|-12.0|-6.0|-18.0|-24.0|-11.0|-16.0|-10.0|6.0|</t>
  </si>
  <si>
    <t>62.94004161712273|0.752318327432178|57.318569903948735|78.03855466567362|82.50195924764894|82.21060382916063|79.09357923497231|75.77901234567906|72.43648208469054|67.48128673059065|66.29696132596696|64.57070113591845|63.07919930374238|61.47821969696968|60.684075780849966|61.273122959738764|60.14891112419076|57.93388429752067|56.316770186335354|58.558777429467106|60.646041856232905|60.649033570701945|58.92735527809309|57.85677083333336|56.897394136807826|60.5979591836735|59.440476190476204|57.182692307692314|53.443298969072174|55.0|</t>
  </si>
  <si>
    <t>74.01414968681851|136.78450892151807|92.0235346072507|68.9954460899276|59.79176243510075|52.33651206945146|55.105211793335314|63.358913383969764|64.76842180229495|60.27682587063655|53.57907299113772|48.841340007326856|53.45811495658418|54.57873707562234|53.67380797414944|55.11103093111804|60.180566660524725|64.8310000368406|65.31427238366756|48.09757415148577|33.70701941246805|32.395130384308864|31.235500168206055|30.527230091714543|29.14628207304989|29.24749415253236|28.737565091571174|34.32319927011605|33.30272552301287|26.038433132583073|</t>
  </si>
  <si>
    <t>624.0|624.0|286.0|296.0|273.0|318.0|308.0|303.0|303.0|312.0|351.0|269.0|256.0|263.0|203.0|234.0|263.0|282.0|186.0|185.0|176.0|162.0|160.0|164.0|187.0|163.0|154.0|155.0|145.0|92.0|</t>
  </si>
  <si>
    <t>67280|5931|5622|5369|5104|4753|4392|4050|3684|3233|2896|2553|2298|2112|1953|1838|1699|1573|1449|1276|1099|983|881|768|614|490|336|208|97|19|</t>
  </si>
  <si>
    <t>151.85634765625|13.386741943359375|12.68930419921875|12.118262939453125|11.52013671875|10.727901611328125|9.913095703125|9.14117431640625|8.3150830078125|7.297139892578125|6.53650390625|5.762325439453125|5.18677001953125|4.766953125|4.408077392578125|4.14851318359375|3.834779052734375|3.550386962890625|3.270509033203125|2.8800341796875|2.480531005859375|2.218709716796875|1.988487548828125|1.7334375|1.38584716796875|1.10596923828125|0.75837890625|0.46947265625|0.218936767578125|0.042884521484375|</t>
  </si>
  <si>
    <t>4234606.0|4462.0|322245.0|418989.0|421090.0|390747.0|347379.0|306905.0|266856.0|218167.0|191996.0|164849.0|144956.0|129842.0|118516.0|112620.0|102193.0|91130.0|81603.0|74721.0|66650.0|59618.0|51915.0|44434.0|34935.0|29693.0|19972.0|11894.0|5184.0|1045.0|</t>
  </si>
  <si>
    <t>1.0|7.0|14.0|47.0|60.0|55.0|35.0|1.0|1.0|3.0|27.0|54.0|28.0|8.0|7.0|5.0|6.0|9.0|14.0|26.0|99.0|99.0|99.0|100.0|99.0|98.0|99.0|99.0|100.0|101.0|</t>
  </si>
  <si>
    <t>106.84332639714648|100.62670713201855|106.28317324795435|108.35313838703685|108.80309561128502|108.77046076162422|108.45810564663002|108.12691358024702|107.78773072747003|107.29755644911863|107.1764502762432|107.01175088131615|106.85813751087902|106.70785984848484|106.61290322580658|106.67301414581065|106.55444379046526|106.32994278448818|106.18495514147695|106.40517241379297|106.61419472247493|106.62054933875878|106.43473325766182|106.33723958333333|106.24267100977193|106.5836734693877|106.4910714285714|106.26923076923073|105.94845360824742|106.05263157894736|</t>
  </si>
  <si>
    <t>7.406322924105378|13.68170046445628|9.208726200767805|6.903270279438132|5.9840617576513|5.23944989449406|5.5207072403164945|6.339466161653822|6.470932362729403|6.03233248149675|5.366113813059685|4.8921645096348065|5.356147604180278|5.463409168086657|5.376331797220984|5.5156559004137815|6.022896959650718|6.495720127229717|6.533263194266054|4.833069685803046|3.3844393912464112|3.264449045716977|3.143647028979225|3.064764245435498|2.9399090425403274|2.944752991184838|2.882610637969692|3.4382765395078656|3.3162242037439627|2.6452277627640126|</t>
  </si>
  <si>
    <t>163.0|163.0|129.0|130.0|128.0|132.0|131.0|131.0|131.0|132.0|136.0|127.0|126.0|127.0|121.0|124.0|127.0|129.0|119.0|119.0|118.0|117.0|117.0|117.0|119.0|117.0|116.0|116.0|115.0|110.0|</t>
  </si>
  <si>
    <t>7188419.0|596817.0|597524.0|581748.0|555331.0|516986.0|476348.0|437914.0|397090.0|346893.0|310383.0|273201.0|245560.0|225367.0|208215.0|196065.0|181036.0|167257.0|153862.0|135773.0|117169.0|104808.0|93769.0|81667.0|65233.0|52226.0|35781.0|22104.0|10277.0|2015.0|</t>
  </si>
  <si>
    <t>Wed Apr 02 16:32:23 CDT 2025</t>
  </si>
  <si>
    <t>3_Chest/Abd/Pel_CT</t>
  </si>
  <si>
    <t>22.0 &lt;-&gt; 123.0</t>
  </si>
  <si>
    <t>Cluster(s) of 3788.0  voxels is(are) detected. If more than one cluster the texture calculation is only performed on the largest cluster. (size ok &gt;= 64.0vx)</t>
  </si>
  <si>
    <t>z104.0 y351.0 x310.0</t>
  </si>
  <si>
    <t>z104.55200633579726 y358.9704329461457 x320.2151531151003</t>
  </si>
  <si>
    <t>z104.5602548506613 y358.8563748117521 x320.06641846860225</t>
  </si>
  <si>
    <t>-781.0|-781.0|-536.0|-177.0|-46.0|-12.0|-2.0|0.0|-4.0|9.0|20.0|</t>
  </si>
  <si>
    <t>26.935322069693775|-38.45283018867925|34.417704011065084|51.17990275526743|53.11685823754786|50.274074074074086|45.99337748344367|44.58638743455499|44.20353982300887|41.08928571428571|35.18181818181819|</t>
  </si>
  <si>
    <t>86.00956018960497|149.01569387246406|64.67248965015963|32.804490116287|24.640708290791007|19.581963090141112|17.425906226016014|18.34576639284917|18.61779493803197|15.555518985825172|8.653093843120578|</t>
  </si>
  <si>
    <t>227.0|227.0|140.0|122.0|112.0|97.0|89.0|87.0|84.0|83.0|52.0|</t>
  </si>
  <si>
    <t>3788|848|723|617|522|405|302|191|113|56|11|</t>
  </si>
  <si>
    <t>14.957632064819336|3.3484878540039062|2.8549017906188965|2.436340808868408|2.061215400695801|1.5992188453674316|1.1925039291381836|0.7541995048522949|0.44620180130004883|0.22112655639648438|0.04343557357788086|</t>
  </si>
  <si>
    <t>102031.0|-32608.0|24884.0|31578.0|27727.0|20361.0|13890.0|8516.0|4995.0|2301.0|387.0|</t>
  </si>
  <si>
    <t>22.0|22.0|47.0|83.0|96.0|99.0|100.0|101.0|100.0|101.0|103.0|</t>
  </si>
  <si>
    <t>103.24313621964106|96.70047169811329|103.97925311203319|105.66936790923822|105.87164750957847|105.5851851851852|105.17218543046357|104.98952879581147|104.94690265486726|104.66071428571426|104.18181818181817|</t>
  </si>
  <si>
    <t>8.60703574367821|14.90741552091945|6.464146119763181|3.2806468146793066|2.489210580960066|2.0063547875706553|1.7968389808859995|1.8132425290253045|1.8474603853613967|1.606646748825079|0.9359663764533628|</t>
  </si>
  <si>
    <t>123.0|123.0|115.0|113.0|112.0|110.0|109.0|109.0|109.0|109.0|106.0|</t>
  </si>
  <si>
    <t>391085.0|82002.0|75177.0|65198.0|55265.0|42762.0|31762.0|20053.0|11859.0|5861.0|1146.0|</t>
  </si>
  <si>
    <t>Wed Apr 02 16:33:15 CDT 2025</t>
  </si>
  <si>
    <t>39.0 &lt;-&gt; 117.0</t>
  </si>
  <si>
    <t>Cluster(s) of 1946.0 1.0 5343.0  voxels is(are) detected. If more than one cluster the texture calculation is only performed on the largest cluster. (size ok &gt;= 64.0vx)</t>
  </si>
  <si>
    <t>z117.0 y211.0 x356.0</t>
  </si>
  <si>
    <t>z117.75687815833801 y242.65805727119596 x347.63915403331464</t>
  </si>
  <si>
    <t>z117.77392815672397 y242.61214972405332 x347.74006195910937</t>
  </si>
  <si>
    <t>-616.0|-616.0|-282.0|-297.0|-204.0|-202.0|-176.0|-123.0|-102.0|-35.0|4.0|21.0|</t>
  </si>
  <si>
    <t>10.194085719633145|-59.42019230769232|15.922135706340377|33.49282920469363|33.62852897474003|29.455958549222814|27.737373737373744|27.36775818639799|24.507462686567152|24.314102564102555|23.328358208955226|27.5|</t>
  </si>
  <si>
    <t>73.06461203572685|125.56900254427049|55.78349365242886|38.63390352246099|30.37705428132927|28.754022830155577|26.145044476506488|19.68379169976053|21.459871008729156|12.626185898696997|8.225167166475247|6.5|</t>
  </si>
  <si>
    <t>160.0|160.0|102.0|99.0|87.0|93.0|87.0|62.0|60.0|49.0|48.0|34.0|</t>
  </si>
  <si>
    <t>5343|1040|899|767|673|579|495|397|268|156|67|2|</t>
  </si>
  <si>
    <t>17.29854949951172|3.3671142578125|2.910611267089844|2.4832467651367187|2.1789114379882815|1.8745761108398438|1.6026168823242188|1.2853311157226563|0.867679443359375|0.505067138671875|0.21691986083984374|0.0064752197265625|</t>
  </si>
  <si>
    <t>54467.0|-61797.0|14314.0|25689.0|22632.0|17055.0|13730.0|10865.0|6568.0|3793.0|1563.0|55.0|</t>
  </si>
  <si>
    <t>39.0|39.0|72.0|71.0|80.0|80.0|83.0|88.0|90.0|97.0|101.0|103.0|</t>
  </si>
  <si>
    <t>101.56297959947601|94.61057692307689|102.13793103448279|103.89700130378095|103.91827637444285|103.48704663212428|103.31111111111106|103.2670025188917|102.97014925373138|102.96794871794872|102.7910447761194|103.5|</t>
  </si>
  <si>
    <t>7.310351718919536|12.556996351017533|5.5849090075495|3.8756524627128655|3.0436412658877963|2.8950117451806534|2.6354570986770858|2.013617202769276|2.192049060171987|1.3417357290468641|0.8731024359528149|0.5|</t>
  </si>
  <si>
    <t>117.0|117.0|111.0|110.0|109.0|110.0|109.0|107.0|107.0|105.0|105.0|104.0|</t>
  </si>
  <si>
    <t>542651.0|98395.0|91822.0|79689.0|69937.0|59919.0|51139.0|40997.0|27596.0|16063.0|6887.0|207.0|</t>
  </si>
  <si>
    <t>Wed Apr 02 16:33:53 CDT 2025</t>
  </si>
  <si>
    <t>3_Lung 3.0 CE_CT</t>
  </si>
  <si>
    <t>104.0 &lt;-&gt; 388.0</t>
  </si>
  <si>
    <t>Cluster(s) of 345.0 17.0 3689.0  voxels is(are) detected. If more than one cluster the texture calculation is only performed on the largest cluster. (size ok &gt;= 64.0vx)</t>
  </si>
  <si>
    <t>z63.0 y224.0 x250.0</t>
  </si>
  <si>
    <t>z60.520466251016536 y228.8522634860396 x245.41068040119274</t>
  </si>
  <si>
    <t>z60.18972504883389 y229.4236138061967 x245.00653614878206</t>
  </si>
  <si>
    <t>-663.8544921875|-663.8544921875|-276.67950439453125|-60.324893951416016|-45.90317916870117|-53.3033447265625|-6.0|-10.128215789794922|-21.17401885986328|10.283018112182617|73.4217529296875|</t>
  </si>
  <si>
    <t>65.08033978387458|29.162517350052838|64.4081988694533|75.69924945561328|79.3516373615609|81.53243402134287|82.90318387857594|85.46860867822673|85.96584061878484|82.65016450553104|101.59534454345703|</t>
  </si>
  <si>
    <t>60.31109010555898|93.47306228614211|48.40577437027268|36.65938581690267|36.3905614502121|36.38707695694532|35.545684715477655|32.69679596827711|30.52119049900795|31.61508651637499|23.326449663652603|</t>
  </si>
  <si>
    <t>257.3861999511719|257.3861999511719|223.0703582763672|193.23306274414062|194.28665161132812|179.63885498046875|192.5778350830078|167.06724548339844|134.95130920410156|127.16889190673828|130.54388427734375|</t>
  </si>
  <si>
    <t>3689|848|742|648|541|385|269|142|82|29|3|</t>
  </si>
  <si>
    <t>18.445|4.24|3.71|3.24|2.705|1.925|1.345|0.71|0.41|0.145|0.015|</t>
  </si>
  <si>
    <t>240081.37346271425|24729.81471284479|47790.88356113434|49053.11364723742|42929.23581260443|31389.98709821701|22300.956463336945|12136.542432308197|7049.198930740356|2396.8547706604004|304.7860336303711|</t>
  </si>
  <si>
    <t>104.0|104.0|224.0|290.0|295.0|293.0|307.0|306.0|302.0|312.0|332.0|</t>
  </si>
  <si>
    <t>329.0403903496877|317.97405660377376|328.8261455525611|332.3240740740744|333.4288354898337|334.1116883116887|334.5278810408923|335.33802816901425|335.4634146341464|334.48275862068965|340.3333333333333|</t>
  </si>
  <si>
    <t>18.59325496903911|28.80983169704209|14.917860131782604|11.31370471004604|11.228636331940297|11.218977128016364|10.971582233187846|10.112666248180737|9.463917512411921|9.821232065609886|6.9442222186665585|</t>
  </si>
  <si>
    <t>388.0|388.0|378.0|369.0|369.0|364.0|368.0|360.0|351.0|348.0|349.0|</t>
  </si>
  <si>
    <t>1213830.0|269642.0|243989.0|215346.0|180385.0|128633.0|89988.0|47618.0|27508.0|9700.0|1021.0|</t>
  </si>
  <si>
    <t>Wed Apr 02 16:34:27 CDT 2025</t>
  </si>
  <si>
    <t>20.0 &lt;-&gt; 161.0</t>
  </si>
  <si>
    <t>Cluster(s) of 313.0 135.0 134.0 7246.0 262.0 173.0 309.0 2941.0 31264.0 3300.0 869.0 1.0 1.0 1.0 2.0  voxels is(are) detected. If more than one cluster the texture calculation is only performed on the largest cluster. (size ok &gt;= 64.0vx)</t>
  </si>
  <si>
    <t>z103.0 y383.0 x221.0</t>
  </si>
  <si>
    <t>z104.07305527123849 y359.8419907881269 x178.4754030194473</t>
  </si>
  <si>
    <t>z104.11234305820838 y359.7596112221049 x178.5173425129166</t>
  </si>
  <si>
    <t>-802.0|-802.0|-555.0|-272.0|-201.0|-150.0|-191.0|-345.0|-464.0|-412.0|-290.0|-172.0|-187.0|-125.0|-24.0|-5.0|-4.0|-4.0|10.0|22.0|24.0|23.0|39.0|35.0|</t>
  </si>
  <si>
    <t>42.673746161719585|-18.620092660326716|33.32110337439736|48.39715048975947|53.611204859939235|55.64733000384179|55.9280450801908|54.83740234374999|53.29500841278743|52.12137203166228|52.830932524639834|56.383075523202926|59.137404580152655|62.422222222222224|63.26254180602002|63.17391304347831|63.182022471910166|61.72451790633608|62.19798657718118|61.558441558441565|57.146496815286625|56.28999999999999|63.0|61.83333333333333|</t>
  </si>
  <si>
    <t>62.30832486991793|127.59960857445922|58.19814057537577|39.68302956496706|31.670021298878687|28.89754477633819|27.27440910561377|28.9180960100407|33.41564097868235|35.03062801944593|32.89431347434448|30.187520172459184|30.062687812274135|24.378543743663766|20.510123976038425|19.178201235947625|18.47100711316998|18.30070613810464|16.77799361579423|16.303528027475785|13.953432692568551|12.35256653493516|12.513070089986835|13.783041109356896|</t>
  </si>
  <si>
    <t>603.0|603.0|155.0|141.0|135.0|125.0|128.0|113.0|135.0|126.0|136.0|136.0|126.0|123.0|115.0|107.0|122.0|103.0|105.0|105.0|93.0|84.0|95.0|79.0|</t>
  </si>
  <si>
    <t>31264|4101|3734|3369|2963|2603|2307|2048|1783|1516|1319|1099|917|720|598|529|445|363|298|231|157|100|52|12|</t>
  </si>
  <si>
    <t>80.31686584472656|10.535423069000244|9.592604179382324|8.654923267364502|7.611913814544677|6.6870778465270995|5.9266571617126464|5.2612890625|4.580507030487061|3.8945870208740234|3.388496227264404|2.8233186912536623|2.355762729644775|1.8496719360351563|1.5362553024291992|1.3589950752258302|1.1432000160217286|0.9325429344177246|0.7655586624145507|0.5934364128112793|0.40333124160766604|0.2568988800048828|0.13358741760253906|0.030827865600585938|</t>
  </si>
  <si>
    <t>1334152.0|-76361.0|124421.0|163050.0|158850.0|144850.0|129026.0|112307.0|95025.0|79016.0|69684.0|61965.0|54229.0|44944.0|37831.0|33419.0|28116.0|22406.0|18535.0|14220.0|8972.0|5629.0|3276.0|742.0|</t>
  </si>
  <si>
    <t>20.0|20.0|45.0|73.0|80.0|86.0|81.0|66.0|54.0|59.0|72.0|83.0|82.0|88.0|98.0|100.0|100.0|100.0|102.0|103.0|103.0|103.0|104.0|104.0|</t>
  </si>
  <si>
    <t>104.8179055783004|98.6869056327726|103.88484199250169|105.39655684179286|105.9163010462366|106.12754514022289|106.13307325531007|106.02832031250003|105.87773415591698|105.76319261213715|105.8332069749811|106.18653321201093|106.46128680479819|106.78194444444442|106.86789297658858|106.86200378071838|106.84943820224717|106.73278236914604|106.79194630872492|106.7316017316017|106.22292993630572|106.13999999999997|106.78846153846152|106.66666666666667|</t>
  </si>
  <si>
    <t>6.239044483232684|12.761423700084551|5.834819711440747|3.984617202856402|3.1716153074221083|2.9050577203566763|2.753265508910713|2.9024132454562563|3.347121552055489|3.5230101279044628|3.313457927577851|3.0457178716252686|3.042031204840237|2.4576313341694176|2.0692701220585747|1.9331582218640961|1.8680713839731173|1.865357586386212|1.7116857258161882|1.6506056967239693|1.456803612636829|1.2650691680694786|1.291042191730541|1.433720877840439|</t>
  </si>
  <si>
    <t>161.0|161.0|116.0|115.0|114.0|113.0|113.0|112.0|114.0|113.0|114.0|114.0|113.0|113.0|112.0|111.0|113.0|111.0|111.0|111.0|110.0|109.0|110.0|108.0|</t>
  </si>
  <si>
    <t>3277027.0|404715.0|387906.0|355081.0|313830.0|276250.0|244849.0|217146.0|188780.0|160337.0|139594.0|116699.0|97625.0|76883.0|63907.0|56530.0|47548.0|38744.0|31824.0|24655.0|16677.0|10614.0|5553.0|1280.0|</t>
  </si>
  <si>
    <t>Wed Apr 02 16:35:06 CDT 2025</t>
  </si>
  <si>
    <t>1.0 &lt;-&gt; 252.0</t>
  </si>
  <si>
    <t>Cluster(s) of 2.0 58447.0  voxels is(are) detected. If more than one cluster the texture calculation is only performed on the largest cluster. (size ok &gt;= 64.0vx)</t>
  </si>
  <si>
    <t>z115.0 y217.0 x232.0</t>
  </si>
  <si>
    <t>z115.56315978578883 y281.4733177066402 x222.57701849538898</t>
  </si>
  <si>
    <t>z115.53583617707737 y281.0544218183369 x222.67178877672526</t>
  </si>
  <si>
    <t>-995.0|-995.0|-955.0|-974.0|-823.0|-546.0|-473.0|-360.0|-384.0|-276.0|-144.0|-127.0|-13.0|-9.0|2.0|9.0|7.0|4.0|52.0|</t>
  </si>
  <si>
    <t>34.54640956764272|-13.457572224381433|33.77387425066217|44.35211058263981|44.05256327060352|42.86206268221577|42.58564910825385|42.854515828677876|43.076594609020695|43.03780177890726|42.96037383177571|42.985157699443356|42.660683265778765|41.86889250814335|41.48922686945509|41.17647058823528|39.7866666666667|37.52272727272728|52.0|</t>
  </si>
  <si>
    <t>66.91154552362134|146.99070858307886|70.88493947493787|46.76492183987179|36.629391984504736|29.115610329195345|25.405864039753666|21.29974772973397|20.976577844834154|18.485532149567764|16.940443225685684|16.815041043930954|15.100266324699891|15.405165693488012|14.395779836311478|15.078551655383588|16.746576432877927|15.364493655479059|0.0|</t>
  </si>
  <si>
    <t>1510.0|1510.0|250.0|190.0|174.0|160.0|119.0|122.0|128.0|124.0|142.0|152.0|147.0|151.0|109.0|101.0|96.0|59.0|52.0|</t>
  </si>
  <si>
    <t>58447|7719|7173|6728|6164|5488|4822|4296|3747|3148|2675|2156|1727|1228|789|391|150|44|2|</t>
  </si>
  <si>
    <t>165.23945951461792|21.822906017303467|20.27927255630493|19.021183013916016|17.426660537719727|15.515495300292969|13.632601737976074|12.145511627197266|10.593396663665771|8.899923324584961|7.562673091888428|6.095373153686523|4.882518291473389|3.471761703491211|2.230635166168213|1.1054224967956543|0.4240751266479492|0.12439537048339844|0.005654335021972656|</t>
  </si>
  <si>
    <t>2019134.0|-103879.0|242260.0|298401.0|271540.0|235227.0|205348.0|184103.0|161408.0|135483.0|114919.0|92676.0|73675.0|51415.0|32735.0|16100.0|5968.0|1651.0|104.0|</t>
  </si>
  <si>
    <t>1.0|1.0|5.0|3.0|18.0|46.0|53.0|65.0|62.0|73.0|86.0|88.0|99.0|100.0|101.0|101.0|101.0|101.0|106.0|</t>
  </si>
  <si>
    <t>104.00366143685814|99.20507837802818|103.9290394535062|104.98929845422107|104.95489941596352|104.84001457725945|104.8034010783907|104.82821229050303|104.849479583667|104.84371029224909|104.85121495327085|104.85204081632642|104.81007527504342|104.73289902280132|104.69455006337128|104.65217391304347|104.51999999999997|104.31818181818184|106.0|</t>
  </si>
  <si>
    <t>6.699010877401741|14.707240928657903|7.09133499956782|4.6945529300399285|3.676209138993679|2.9273122230297632|2.5559530394598755|2.145391572129276|2.125317696164792|1.8726196634656698|1.7116187399080527|1.6916526785885915|1.5267741140260835|1.5703873252695084|1.4554589192913008|1.5576686397426227|1.7037996752357154|1.6064179133702088|0.0|</t>
  </si>
  <si>
    <t>252.0|252.0|126.0|120.0|118.0|117.0|112.0|113.0|113.0|113.0|115.0|116.0|115.0|116.0|111.0|111.0|110.0|106.0|106.0|</t>
  </si>
  <si>
    <t>6078702.0|765764.0|745483.0|706368.0|646942.0|575362.0|505362.0|450342.0|392871.0|330048.0|280477.0|226061.0|181007.0|128612.0|82604.0|40919.0|15678.0|4590.0|212.0|</t>
  </si>
  <si>
    <t>Wed Apr 02 16:35:32 CDT 2025</t>
  </si>
  <si>
    <t>5_PE Chest  1.5_CT</t>
  </si>
  <si>
    <t>12.0 &lt;-&gt; 127.0</t>
  </si>
  <si>
    <t>Cluster(s) of 7881.0 1.0 3.0 1.0 683.0 4451.0 5808.0 1016.0  voxels is(are) detected. If more than one cluster the texture calculation is only performed on the largest cluster. (size ok &gt;= 64.0vx)</t>
  </si>
  <si>
    <t>z59.0 y269.0 x80.0</t>
  </si>
  <si>
    <t>z59.63862454003299 y239.1786575307702 x87.33434843293998</t>
  </si>
  <si>
    <t>z59.59982783004366 y239.48347235094224 x87.14459416711301</t>
  </si>
  <si>
    <t>-882.0|-882.0|-834.0|-550.0|-49.0|-56.0|</t>
  </si>
  <si>
    <t>-25.618195660449185|-81.98950220115127|-1.088070456365093|17.04476709013913|18.92636229749632|19.489795918367346|</t>
  </si>
  <si>
    <t>117.46157754369608|166.14078815321272|64.10874663348024|26.872564392345723|20.007079679018222|22.716192596489396|</t>
  </si>
  <si>
    <t>262.0|262.0|87.0|83.0|72.0|69.0|</t>
  </si>
  <si>
    <t>7881|2953|2498|1653|679|98|</t>
  </si>
  <si>
    <t>4.851548217773438|1.8178685302734374|1.537770263671875|1.0175877685546875|0.4179927978515625|0.060328857421875|</t>
  </si>
  <si>
    <t>-201897.0|-242115.0|-2718.0|28175.0|12851.0|1910.0|</t>
  </si>
  <si>
    <t>12.0|12.0|17.0|46.0|96.0|95.0|</t>
  </si>
  <si>
    <t>97.99086410354026|92.35523196749055|100.43594875900718|102.26134301270409|102.45802650957286|102.50000000000001|</t>
  </si>
  <si>
    <t>11.750263381462846|16.619711772245488|6.4125031678806135|2.6985129353063333|2.0243560242689203|2.2778883884431385|</t>
  </si>
  <si>
    <t>127.0|127.0|109.0|109.0|108.0|107.0|</t>
  </si>
  <si>
    <t>772266.0|272725.0|250889.0|169038.0|69569.0|10045.0|</t>
  </si>
  <si>
    <t>No visible lesion</t>
  </si>
  <si>
    <t>Wed Apr 02 16:36:51 CDT 2025</t>
  </si>
  <si>
    <t>5_PE_CT</t>
  </si>
  <si>
    <t>3.0 &lt;-&gt; 175.0</t>
  </si>
  <si>
    <t>Cluster(s) of 134504.0 1.0  voxels is(are) detected. If more than one cluster the texture calculation is only performed on the largest cluster. (size ok &gt;= 64.0vx)</t>
  </si>
  <si>
    <t>z127.0 y305.0 x215.0</t>
  </si>
  <si>
    <t>z113.51301820020223 y301.0065128174627 x227.98521977041577</t>
  </si>
  <si>
    <t>z113.49076060656519 y300.9891401191379 x228.01756510418218</t>
  </si>
  <si>
    <t>-979.0|-936.0|-841.0|-900.0|-979.0|-930.0|-889.0|-865.0|-959.0|-955.0|-926.0|-811.0|-641.0|-597.0|-460.0|-160.0|-67.0|-32.0|-42.0|-22.0|-36.0|-53.0|19.0|164.0|</t>
  </si>
  <si>
    <t>62.81672664009936|20.697032239698235|47.93117439326781|62.99732620320876|68.52473118279542|70.34797535211268|69.51151424006036|66.57221095334674|64.39306294326238|66.61391625615805|70.62739571589587|73.53712871287105|75.34461054287948|78.80895664602211|82.28205891103829|83.3398169336383|84.43602865916054|86.57386785449143|86.19343065693437|83.89041095890411|81.8765957446808|75.91752577319588|101.20000000000002|164.0|</t>
  </si>
  <si>
    <t>86.16555971583193|156.20121215772264|97.3254916779706|75.31729042075024|71.04283072183102|68.07945819366547|68.98815940252672|76.88292486951183|81.52667622812993|75.89849053473407|60.504703706051245|59.7370318805206|53.078431349965015|48.21549407896023|43.62696746778412|41.16909106548195|42.545577364956536|40.83458765234205|38.905998207257184|36.405527320254784|38.825382204231595|47.26513723667702|45.7259226260116|0.0|</t>
  </si>
  <si>
    <t>740.0|740.0|593.0|462.0|496.0|458.0|369.0|347.0|378.0|414.0|421.0|399.0|365.0|312.0|317.0|426.0|385.0|316.0|283.0|187.0|189.0|182.0|180.0|164.0|</t>
  </si>
  <si>
    <t>134504|14051|13309|12716|12090|11360|10639|9860|9024|8120|7096|6060|5084|4198|3361|2622|1954|1347|822|438|235|97|20|1|</t>
  </si>
  <si>
    <t>85.34439500427246|8.915527376174927|8.444719511032105|8.068453926086425|7.671249446868896|7.2080557250976565|6.7505726108551025|6.256287803649903|5.725835815429687|5.152237014770508|4.502496780395508|3.845142402648926|3.225858741760254|2.6636811561584475|2.1325946559906006|1.6636903266906737|1.2398363456726074|0.854687593460083|0.5215688209533691|0.27791623306274416|0.14911030769348144|0.06154765892028809|0.012690238952636719|6.345119476318359E-4|</t>
  </si>
  <si>
    <t>8449101.0|290814.0|637916.0|801074.0|828464.0|799153.0|739533.0|656402.0|581083.0|540905.0|501172.0|445635.0|383052.0|330840.0|276550.0|218517.0|164988.0|116615.0|70851.0|36744.0|19241.0|7364.0|2024.0|164.0|</t>
  </si>
  <si>
    <t>3.0|7.0|16.0|11.0|3.0|8.0|12.0|14.0|5.0|5.0|8.0|19.0|36.0|41.0|55.0|85.0|94.0|97.0|96.0|98.0|97.0|95.0|102.0|117.0|</t>
  </si>
  <si>
    <t>106.83181169333295|102.62073873745592|105.34255015403109|106.85073922617151|107.40463192721245|107.58899647887336|107.49675721402359|107.20436105476675|106.99324024822727|107.20985221674887|107.61499436302171|107.90115511551151|108.08241542092846|108.42520247736992|108.78607557274621|108.88062547673505|108.9943705220062|109.19970304380097|109.16058394160588|108.9520547945205|108.76170212765958|108.14432989690724|110.55|117.0|</t>
  </si>
  <si>
    <t>8.620744400356967|15.616557596489278|9.738250341414366|7.537098678142478|7.106285970798344|6.816134187393256|6.904526891771758|7.69833898785126|8.156116002235763|7.599167148936173|6.060017429491491|5.983307251212155|5.316284158124677|4.827466614659174|4.36674799481542|4.125677984373816|4.28028603654329|4.0849625446572615|3.9099976228684565|3.676406682816007|3.9186707033744024|4.734148135787516|4.727314248069404|0.0|</t>
  </si>
  <si>
    <t>175.0|175.0|160.0|147.0|150.0|146.0|137.0|135.0|138.0|142.0|143.0|140.0|137.0|132.0|132.0|143.0|139.0|132.0|129.0|119.0|119.0|119.0|119.0|117.0|</t>
  </si>
  <si>
    <t>1.4369306E7|1441924.0|1402004.0|1358714.0|1298522.0|1222211.0|1143658.0|1057035.0|965507.0|870544.0|763636.0|653881.0|549491.0|455169.0|365630.0|285485.0|212975.0|147092.0|89730.0|47721.0|25559.0|10490.0|2211.0|117.0|</t>
  </si>
  <si>
    <t>Wed Apr 02 16:39:40 CDT 2025</t>
  </si>
  <si>
    <t>16_Soft Tissue_CT</t>
  </si>
  <si>
    <t>1.0 &lt;-&gt; 169.0</t>
  </si>
  <si>
    <t>Cluster(s) of 94330.0  voxels is(are) detected. If more than one cluster the texture calculation is only performed on the largest cluster. (size ok &gt;= 64.0vx)</t>
  </si>
  <si>
    <t>z58.0 y324.0 x207.0</t>
  </si>
  <si>
    <t>z58.984723841831865 y312.9418318668504 x207.28756493162302</t>
  </si>
  <si>
    <t>z58.981339563147884 y312.85009364066383 x207.1828155725451</t>
  </si>
  <si>
    <t>-1024.0|-998.0|-687.0|-616.0|-420.0|-333.0|-336.0|-606.0|-954.0|-1023.0|-1024.0|-1024.0|-1021.0|-941.0|-620.0|-16.0|-47.0|-10.0|-19.0|6.0|8.0|2.0|3.0|21.0|</t>
  </si>
  <si>
    <t>33.66659599279143|-23.36248722000197|23.77085179714429|41.46282527881038|44.6945295404816|44.8865045302815|45.39105701812416|43.735210847861616|41.15735777278234|39.51725554642568|37.714981729597916|38.78797202797199|43.423913043478194|44.96547711404185|45.947271893626755|48.75347222222217|48.741176470588265|50.50303030303032|52.99035812672172|52.73248407643314|53.67491166077739|49.6848484848485|41.027777777777786|42.69230769230769|</t>
  </si>
  <si>
    <t>73.57385314985595|149.9315041119013|78.34686586365777|45.43541200761784|31.915426269580646|28.005168370316685|28.575104262327976|32.673293408716155|50.568394393860494|69.57934935542545|84.52854497517903|76.01604777718688|58.798699222639144|56.12426617316958|43.542097219729975|20.402418202243307|20.500267109408426|20.246947416984913|21.72470291975554|21.930225823219203|20.06844224420032|19.109510898901235|19.44005902927582|13.361164247892907|</t>
  </si>
  <si>
    <t>682.0|634.0|392.0|590.0|388.0|546.0|682.0|347.0|176.0|266.0|457.0|204.0|183.0|194.0|168.0|155.0|128.0|163.0|252.0|217.0|107.0|98.0|91.0|61.0|</t>
  </si>
  <si>
    <t>94330|10759|10155|9684|9140|8388|7559|6711|5783|4868|4105|3575|3036|2578|2181|1728|1360|990|726|471|283|165|72|13|</t>
  </si>
  <si>
    <t>102.40769714355469|11.680318176269532|11.024596252441405|10.513263427734374|9.922679443359375|9.106283935546875|8.20629473876953|7.285678527832031|6.2782117309570316|5.284858154296875|4.456520690917968|3.8811355590820313|3.295979736328125|2.7987601318359374|2.3677640991210938|1.87597265625|1.4764599609375|1.0747760009765626|0.7881690673828124|0.5113328247070312|0.3072339477539062|0.17912933349609375|0.07816552734375|0.01411322021484375|</t>
  </si>
  <si>
    <t>3175770.0|-251357.0|241393.0|401526.0|408508.0|376508.0|343111.0|293507.0|238013.0|192370.0|154820.0|138667.0|131835.0|115921.0|100211.0|84246.0|66288.0|49998.0|38471.0|24837.0|15190.0|8198.0|2954.0|555.0|</t>
  </si>
  <si>
    <t>1.0|1.0|32.0|39.0|59.0|67.0|67.0|40.0|5.0|1.0|1.0|1.0|1.0|6.0|39.0|99.0|96.0|100.0|99.0|101.0|101.0|101.0|101.0|103.0|</t>
  </si>
  <si>
    <t>103.91749178416231|98.21014964216047|102.92742491383541|104.69330855018573|105.02253829321627|105.04208392942324|105.0883714777086|104.9259424824912|104.6692028358984|104.50513557929341|104.33252131546898|104.42937062937071|104.8906455862979|105.04072924747872|105.1435121503899|105.42187500000004|105.42647058823539|105.60707070707065|105.86088154269966|105.85350318471332|105.88692579505303|105.48484848484844|104.66666666666664|104.84615384615384|</t>
  </si>
  <si>
    <t>7.352885822012028|14.992986716439946|7.841107399768357|4.554243342642535|3.19955134148947|2.818042226456957|2.8675614781405634|3.282419846658706|5.060112195966875|6.921838418018119|8.398844366948076|7.526027863892653|5.8168040140297|5.63103734891793|4.361059013147171|2.054727656803757|2.067011030951728|2.0439984841191348|2.205349442839215|2.2265011252199183|2.0231710978840622|1.892908810514112|1.9790570145063187|1.29175812490359|</t>
  </si>
  <si>
    <t>169.0|164.0|140.0|160.0|139.0|155.0|169.0|135.0|118.0|127.0|146.0|121.0|119.0|120.0|117.0|116.0|113.0|117.0|126.0|122.0|111.0|110.0|110.0|107.0|</t>
  </si>
  <si>
    <t>9802537.0|1056643.0|1045228.0|1013850.0|959906.0|881093.0|794363.0|704158.0|605302.0|508731.0|428285.0|373335.0|318448.0|270795.0|229318.0|182169.0|143380.0|104551.0|76855.0|49857.0|29966.0|17405.0|7536.0|1363.0|</t>
  </si>
  <si>
    <t>Wed Apr 02 16:40:17 CDT 2025</t>
  </si>
  <si>
    <t>LUNG CE Axial 3.0_CT</t>
  </si>
  <si>
    <t>9.0 &lt;-&gt; 253.0</t>
  </si>
  <si>
    <t>Cluster(s) of 16652.0 781.0  voxels is(are) detected. If more than one cluster the texture calculation is only performed on the largest cluster. (size ok &gt;= 64.0vx)</t>
  </si>
  <si>
    <t>z80.0 y290.0 x114.0</t>
  </si>
  <si>
    <t>z79.70417967811674 y303.07746817199137 x133.0502041796781</t>
  </si>
  <si>
    <t>z79.74020481989429 y303.0997806547215 x132.74384566902913</t>
  </si>
  <si>
    <t>-913.0|-913.0|-868.0|-648.0|-537.0|-705.0|-776.0|-745.0|-619.0|-713.0|-556.0|-160.0|-151.0|-57.0|-93.0|-35.0|1.0|</t>
  </si>
  <si>
    <t>9.618844583233317|-23.025802391441143|15.807817589576539|20.472036727879782|21.287384315635695|16.954861111111097|18.48034310221588|12.642023346303501|7.251768033946247|10.10179640718562|10.657894736842104|22.12|24.475524475524484|32.63291139240504|29.436363636363634|42.45945945945945|38.44444444444444|</t>
  </si>
  <si>
    <t>107.01575732588289|176.36014617618073|89.49319433205723|70.0498842242086|69.37314635782282|78.53298463348811|82.5369162079803|95.19824831931318|92.98126216375154|97.5417594013571|83.45221298969733|40.3755569621027|42.90953765688606|36.934487747831035|36.21439374129556|35.54410628500466|29.418856806519|</t>
  </si>
  <si>
    <t>1529.0|1529.0|933.0|240.0|189.0|168.0|160.0|154.0|121.0|125.0|134.0|110.0|125.0|135.0|83.0|119.0|103.0|</t>
  </si>
  <si>
    <t>16652|3178|2763|2396|2053|1728|1399|1028|707|501|342|225|143|79|55|37|18|</t>
  </si>
  <si>
    <t>24.618516623999998|4.698393335999999|4.084852356|3.5422751519999998|3.0351798359999997|2.5546959359999994|2.0682983879999997|1.5198075359999998|1.0452372839999997|0.7406844119999999|0.5056169039999999|0.3326427|0.21141291599999998|0.116794548|0.08131266|0.054701243999999996|0.026611416|</t>
  </si>
  <si>
    <t>160173.0|-73176.0|43677.0|49051.0|43703.0|29298.0|25854.0|12996.0|5127.0|5061.0|3645.0|4977.0|3500.0|2578.0|1619.0|1571.0|692.0|</t>
  </si>
  <si>
    <t>9.0|9.0|14.0|36.0|47.0|30.0|23.0|26.0|39.0|29.0|45.0|85.0|85.0|95.0|91.0|97.0|101.0|</t>
  </si>
  <si>
    <t>101.5097285611335|98.24229074889877|102.12703583061892|102.59056761268826|102.67803214807601|102.24594907407409|102.40528949249477|101.8103112840467|101.26591230551644|101.54890219560873|101.60818713450297|102.79111111111112|103.01398601398601|103.84810126582279|103.56363636363635|104.78378378378375|104.44444444444444|</t>
  </si>
  <si>
    <t>10.70773656689807|17.64012885561185|8.955522267807586|7.01237121772501|6.94365954074423|7.867849180025553|8.260207186978135|9.527045809096737|9.295556305291328|9.745058822270702|8.390592245722974|4.049242575111889|4.296666481465747|3.728401454707735|3.6369999443279264|3.5499153787793007|2.8717439962933535|</t>
  </si>
  <si>
    <t>253.0|253.0|194.0|125.0|119.0|117.0|117.0|116.0|113.0|113.0|114.0|112.0|113.0|114.0|109.0|112.0|111.0|</t>
  </si>
  <si>
    <t>1690340.0|312214.0|282177.0|245807.0|210798.0|176681.0|143265.0|104661.0|71595.0|50876.0|34750.0|23128.0|14731.0|8204.0|5696.0|3877.0|1880.0|</t>
  </si>
  <si>
    <t>Wed Apr 02 16:40:44 CDT 2025</t>
  </si>
  <si>
    <t>14_Lung_CT</t>
  </si>
  <si>
    <t>1.0 &lt;-&gt; 150.0</t>
  </si>
  <si>
    <t>Cluster(s) of 84590.0 1.0  voxels is(are) detected. If more than one cluster the texture calculation is only performed on the largest cluster. (size ok &gt;= 64.0vx)</t>
  </si>
  <si>
    <t>z91.0 y215.0 x177.0</t>
  </si>
  <si>
    <t>z89.34000472869133 y253.9128620404303 x184.0884974583284</t>
  </si>
  <si>
    <t>z89.31209620739023 y253.64834897075195 x184.19960129447503</t>
  </si>
  <si>
    <t>-1024.0|-1024.0|-1017.0|-748.0|-709.0|-708.0|-790.0|-724.0|-646.0|-818.0|-879.0|-901.0|-927.0|-930.0|-859.0|-278.0|-225.0|-155.0|-149.0|-170.0|-181.0|-142.0|-133.0|-117.0|-172.0|-93.0|-62.0|-20.0|</t>
  </si>
  <si>
    <t>65.83735666154455|-17.404076486656752|50.09405430175272|72.99364485981326|78.83825558929101|79.53180184403837|79.0485054591015|77.85262725779958|79.74290367612853|81.11018058099968|78.79030373831758|82.45893256631508|82.12729159460406|81.32916666666664|85.73929471032719|86.89372659176036|84.66754756871042|83.40240963855422|85.4225352112678|81.29332206255286|83.18267223382043|80.22672064777325|79.22887323943667|80.1351981351981|83.89677419354838|84.47393364928908|82.38888888888889|67.76923076923076|</t>
  </si>
  <si>
    <t>118.12752732759002|208.5704899736729|135.80424838837715|100.72016239194697|91.20267097141378|92.32947288945776|95.34649429532563|93.42668132679184|85.9603414089993|87.65276806992863|89.42145864274185|87.76482086614551|90.81543645975073|84.02325380279305|79.40018395188552|77.05899314852113|74.94154835526219|75.26168480052067|73.9070718322147|74.35110792999545|72.49900317764856|72.71935879088215|69.05991283445299|68.90076236731764|69.969825219212|72.21789720004037|60.30736600998033|64.15024893069256|</t>
  </si>
  <si>
    <t>491.0|491.0|419.0|464.0|390.0|395.0|373.0|355.0|391.0|423.0|375.0|369.0|326.0|337.0|380.0|389.0|337.0|349.0|380.0|318.0|313.0|310.0|339.0|273.0|285.0|315.0|271.0|170.0|</t>
  </si>
  <si>
    <t>84590|9518|8729|8025|7246|6399|5587|4872|4298|3821|3424|3129|2891|2640|2382|2136|1892|1660|1420|1183|958|741|568|429|310|211|108|13|</t>
  </si>
  <si>
    <t>146.48716037750245|16.482619606018066|15.116283519744872|13.897144603729249|12.548125831604004|11.081349323272706|9.675183414459228|8.43699545288086|7.442981620788574|6.616945735931396|5.929448364257812|5.41858759689331|5.006435520172119|4.571770935058594|4.124984230041504|3.698978302001953|3.2764358367919924|2.87467414855957|2.459058609008789|2.0486382637023928|1.6589986953735352|1.283212978363037|0.9836234436035156|0.7429127769470215|0.5368367385864258|0.3653953285217285|0.18702699279785157|0.022512508392333985|</t>
  </si>
  <si>
    <t>5569182.0|-165652.0|437271.0|585774.0|571262.0|508924.0|441644.0|379298.0|342735.0|309922.0|269778.0|258014.0|237430.0|214709.0|204231.0|185605.0|160191.0|138448.0|121300.0|96170.0|79689.0|59448.0|45002.0|34378.0|26008.0|17824.0|8898.0|881.0|</t>
  </si>
  <si>
    <t>1.0|1.0|1.0|26.0|30.0|30.0|22.0|28.0|36.0|19.0|13.0|10.0|8.0|8.0|15.0|73.0|78.0|85.0|86.0|84.0|82.0|86.0|87.0|89.0|83.0|91.0|94.0|99.0|</t>
  </si>
  <si>
    <t>107.13417661661985|98.81624290817415|105.56054530874115|107.84971962616777|108.43472260557513|108.49570245350824|108.4582065509215|108.33661740558283|108.51931130758456|108.65349384977765|108.4258177570092|108.79578139980798|108.76824628156373|108.68522727272737|109.12594458438286|109.23455056179782|109.02114164904863|108.89277108433726|109.09366197183097|108.68469991546908|108.8632567849685|108.58029689608632|108.4911971830986|108.53613053613056|108.95161290322578|108.99052132701419|108.78703703703701|107.3076923076923|</t>
  </si>
  <si>
    <t>11.810454340220925|20.835640967556838|13.57770309315482|10.075198640585059|9.125710085782588|9.242573513558623|9.54126804030842|9.345669196415352|8.601580053881351|8.767090474489477|8.949481099376431|8.780016392932971|9.086591491617765|8.40529738859795|7.941066952422503|7.702068468478864|7.504725584337815|7.528216530382252|7.391684657973449|7.441936019822806|7.2664101688519285|7.268558761581087|6.911405656175697|6.90270207838643|6.996836657018282|7.239956613553209|6.05843600085088|6.425724926294494|</t>
  </si>
  <si>
    <t>150.0|150.0|142.0|147.0|140.0|140.0|138.0|136.0|140.0|143.0|138.0|137.0|133.0|134.0|139.0|139.0|134.0|135.0|139.0|132.0|132.0|132.0|134.0|128.0|129.0|132.0|128.0|118.0|</t>
  </si>
  <si>
    <t>9062480.0|940533.0|921438.0|865494.0|785718.0|694264.0|605956.0|527816.0|466416.0|415165.0|371250.0|340422.0|314449.0|286929.0|259938.0|233325.0|206268.0|180762.0|154913.0|128574.0|104291.0|80458.0|61623.0|46562.0|33775.0|22997.0|11749.0|1395.0|</t>
  </si>
  <si>
    <t>Wed Apr 02 16:41:07 CDT 2025</t>
  </si>
  <si>
    <t>52.0 &lt;-&gt; 137.0</t>
  </si>
  <si>
    <t>Cluster(s) of 9608.0 1413.0 458.0 1.0  voxels is(are) detected. If more than one cluster the texture calculation is only performed on the largest cluster. (size ok &gt;= 64.0vx)</t>
  </si>
  <si>
    <t>z79.0 y405.0 x395.0</t>
  </si>
  <si>
    <t>z78.38478351373855 y389.5925270607827 x390.7330349708576</t>
  </si>
  <si>
    <t>z78.39104806267032 y389.6883176042617 x390.77022508592734</t>
  </si>
  <si>
    <t>-482.0|-482.0|-183.0|-93.0|-106.0|-48.0|3.0|-7.0|-8.0|-5.0|-2.0|2.0|7.0|16.0|</t>
  </si>
  <si>
    <t>32.541215653621975|5.762816131237177|30.1027346637103|40.161084529505565|42.5417391304348|42.96397273612462|41.766509433962256|37.52900552486187|34.65168539325841|32.84567901234563|29.808625336927197|29.15525114155252|27.95348837209302|24.75|</t>
  </si>
  <si>
    <t>38.2661693504458|75.71574488875132|36.51792096053567|24.314189137233175|20.530221552029715|17.287355077081255|16.844522403017546|17.21975252178648|16.815370544996895|16.675024196274784|14.60655729116409|11.959353050794551|10.999901666309087|6.905613658466566|</t>
  </si>
  <si>
    <t>360.0|360.0|111.0|105.0|98.0|92.0|94.0|90.0|88.0|84.0|78.0|59.0|60.0|35.0|</t>
  </si>
  <si>
    <t>9608|1463|1353|1254|1150|1027|848|724|623|486|371|219|86|4|</t>
  </si>
  <si>
    <t>24.414554595947266|3.717578411102295|3.438061237335205|3.186495780944824|2.922224998474121|2.6096739768981934|2.1548233032226562|1.839731216430664|1.5830836296081543|1.2349576950073242|0.9427351951599121|0.5564932823181152|0.21853160858154297|0.010164260864257812|</t>
  </si>
  <si>
    <t>312656.0|8431.0|40729.0|50362.0|48923.0|44124.0|35418.0|27171.0|21588.0|15963.0|11059.0|6385.0|2404.0|99.0|</t>
  </si>
  <si>
    <t>52.0|52.0|82.0|91.0|90.0|96.0|101.0|100.0|100.0|100.0|100.0|101.0|101.0|102.0|</t>
  </si>
  <si>
    <t>103.803705245629|101.13465481886543|103.56171470805629|104.57097288676233|104.80434782608684|104.85004868549176|104.70990566037737|104.31906077348069|104.00160513643674|103.8292181069959|103.5094339622642|103.43835616438363|103.33720930232559|103.0|</t>
  </si>
  <si>
    <t>3.8372081154505775|7.58873112286562|3.666743614916298|2.441530524547082|2.0597547893039336|1.7421146585431544|1.7068938993249891|1.748439304588937|1.6945756131283278|1.6770203728727215|1.454352127535877|1.1934329597054518|1.1061189758568817|0.7071067811865462|</t>
  </si>
  <si>
    <t>137.0|137.0|112.0|111.0|110.0|110.0|110.0|110.0|109.0|109.0|108.0|106.0|107.0|104.0|</t>
  </si>
  <si>
    <t>997346.0|147960.0|140119.0|131132.0|120525.0|107681.0|88794.0|75527.0|64793.0|50461.0|38402.0|22653.0|8887.0|412.0|</t>
  </si>
  <si>
    <t>Wed Apr 02 16:41:32 CDT 2025</t>
  </si>
  <si>
    <t>36.0 &lt;-&gt; 120.0</t>
  </si>
  <si>
    <t>Cluster(s) of 89.0 6781.0 1252.0 990.0 310.0 150.0 163.0 1164.0  voxels is(are) detected. If more than one cluster the texture calculation is only performed on the largest cluster. (size ok &gt;= 64.0vx)</t>
  </si>
  <si>
    <t>z82.0 y245.0 x183.0</t>
  </si>
  <si>
    <t>z79.22754755935702 y222.34567172983336 x177.59548739124023</t>
  </si>
  <si>
    <t>z79.23702771051971 y222.2917109186077 x177.67931003654888</t>
  </si>
  <si>
    <t>-649.0|-649.0|-490.0|-322.0|-572.0|-579.0|-336.0|-15.0|-16.0|-11.0|6.0|43.0|</t>
  </si>
  <si>
    <t>22.365727768765666|-11.166112956810633|17.091454272863544|27.21115879828329|34.23721881390593|40.901595744680854|48.142857142857125|52.243333333333354|42.1578947368421|34.94117647058822|39.16|50.333333333333336|</t>
  </si>
  <si>
    <t>72.65841785890515|107.58431282774679|62.396678270597334|53.89860178727136|57.68994558243108|57.6369635904051|41.853657266549234|25.30462649837421|23.158441551985728|21.415965974382683|18.47523748155893|9.672412085697939|</t>
  </si>
  <si>
    <t>198.0|198.0|152.0|143.0|133.0|119.0|121.0|119.0|91.0|89.0|82.0|64.0|</t>
  </si>
  <si>
    <t>6781|1505|1334|1165|978|752|518|300|133|68|25|3|</t>
  </si>
  <si>
    <t>6.337528228759766|1.4065742492675781|1.2467575073242188|1.0888099670410156|0.9140396118164062|0.70281982421875|0.48412322998046875|0.2803802490234375|0.12430191040039062|0.0635528564453125|0.023365020751953125|0.002803802490234375|</t>
  </si>
  <si>
    <t>151662.0|-16805.0|22800.0|31701.0|33484.0|30758.0|24938.0|15673.0|5607.0|2376.0|979.0|151.0|</t>
  </si>
  <si>
    <t>36.0|36.0|52.0|68.0|43.0|43.0|67.0|99.0|99.0|99.0|101.0|105.0|</t>
  </si>
  <si>
    <t>102.79280342132411|99.4325581395349|102.28035982008988|103.2875536480687|103.95807770961136|104.65026595744692|105.37258687258692|105.75666666666667|104.78947368421053|104.07352941176472|104.44|105.66666666666667|</t>
  </si>
  <si>
    <t>7.2693749350385835|10.759386063922664|6.240263506147134|5.3973980003479936|5.787943288538999|5.753932506640027|4.198062325040469|2.5293191881523303|2.3557724068267136|2.144186233067484|1.9200000000000006|0.9428090415820617|</t>
  </si>
  <si>
    <t>120.0|120.0|116.0|115.0|114.0|112.0|113.0|112.0|110.0|109.0|109.0|107.0|</t>
  </si>
  <si>
    <t>697038.0|149646.0|136442.0|120330.0|101671.0|78697.0|54583.0|31727.0|13937.0|7077.0|2611.0|317.0|</t>
  </si>
  <si>
    <t>Wed Apr 02 16:42:43 CDT 2025</t>
  </si>
  <si>
    <t>2_Coronals_CT</t>
  </si>
  <si>
    <t>1.0 &lt;-&gt; 136.0</t>
  </si>
  <si>
    <t>Cluster(s) of 6530.0 2048.0 1.0 11070.0 1281.0 15877.0 5563.0 1.0 1.0 1.0 4.0 1.0 1.0 2.0 91228.0 2904.0 6669.0 1.0 4.0 8.0 2761.0 107.0 55389.0 1982.0 2.0 1162.0  voxels is(are) detected. If more than one cluster the texture calculation is only performed on the largest cluster. (size ok &gt;= 64.0vx)</t>
  </si>
  <si>
    <t>z735.0 y45.0 x368.0</t>
  </si>
  <si>
    <t>z721.6560376200289 y43.83734160564739 x349.8685929758407</t>
  </si>
  <si>
    <t>z721.4875244962618 y43.77541204207502 x349.87546308574355</t>
  </si>
  <si>
    <t>-1017.0|-1017.0|-730.0|-512.0|-375.0|-412.0|-267.0|-40.0|22.0|55.0|68.0|</t>
  </si>
  <si>
    <t>69.73492084669876|14.189653452610552|96.16357947039262|97.1552472293777|90.50291722525608|89.8877031392209|96.75207303860111|103.09070670586283|103.58148984136983|98.6911124241205|92.19999999999999|</t>
  </si>
  <si>
    <t>100.31310062286757|151.88858905180354|52.77652211980327|43.94723413753813|42.00007354912302|44.35083813491306|38.388362025541056|31.66811709353439|30.334365463537086|17.656427414708926|13.687950905814938|</t>
  </si>
  <si>
    <t>354.0|354.0|309.0|260.0|276.0|245.0|230.0|231.0|220.0|142.0|119.0|</t>
  </si>
  <si>
    <t>91228|28544|19862|14820|11056|8146|5163|2588|877|162|10|</t>
  </si>
  <si>
    <t>77.62997487811467|24.28936294691219|16.901461843174392|12.610999119718281|9.408043607800629|6.931794792795217|4.393427021262179|2.202244650595878|0.7462784229414934|0.13785302681473424|0.008509446099674953|</t>
  </si>
  <si>
    <t>6361777.359002814|405029.46815131605|1910001.0154409409|1439840.7639393806|1000600.2528424263|732225.2297720909|499530.9530982971|266798.74895477295|90840.96659088135|15987.96021270752|922.0|</t>
  </si>
  <si>
    <t>1.0|1.0|28.0|49.0|63.0|59.0|74.0|97.0|103.0|106.0|107.0|</t>
  </si>
  <si>
    <t>107.52174770903771|101.96973094170465|110.16413251434889|110.26464237516849|109.59524240231573|109.53449545789364|110.21925237265143|110.86398763523941|110.89623717217788|110.39506172839506|109.7|</t>
  </si>
  <si>
    <t>10.034154771925193|15.191280679126528|5.283613416806239|4.40005269724138|4.20849648128546|4.445910387327868|3.846659074832743|3.179588814001304|3.062920105021848|1.7824869043252012|1.345362404707371|</t>
  </si>
  <si>
    <t>136.0|136.0|131.0|127.0|128.0|125.0|124.0|124.0|123.0|115.0|112.0|</t>
  </si>
  <si>
    <t>9808994.0|2910624.0|2188080.0|1634122.0|1211685.0|892268.0|569062.0|286916.0|97256.0|17884.0|1097.0|</t>
  </si>
  <si>
    <t>Wed Apr 02 16:43:20 CDT 2025</t>
  </si>
  <si>
    <t>2_Chest/Abdomen_CT</t>
  </si>
  <si>
    <t>59.0 &lt;-&gt; 117.0</t>
  </si>
  <si>
    <t>Cluster(s) of 3758.0  voxels is(are) detected. If more than one cluster the texture calculation is only performed on the largest cluster. (size ok &gt;= 64.0vx)</t>
  </si>
  <si>
    <t>z84.0 y323.0 x188.0</t>
  </si>
  <si>
    <t>z83.05401809473123 y326.0926024481107 x183.12453432676955</t>
  </si>
  <si>
    <t>z83.06330626028164 y326.04232726082137 x183.15446225312533</t>
  </si>
  <si>
    <t>-420.0|-420.0|-146.0|-99.0|-101.0|-26.0|-27.0|-43.0|-35.0|-4.0|0.0|0.0|18.0|</t>
  </si>
  <si>
    <t>12.374401277275155|-11.349999999999996|9.453074433656953|14.620437956204382|16.42372881355931|19.38944723618091|23.710769230769216|24.52713178294573|26.608465608465615|24.27868852459017|23.844155844155846|24.14285714285715|27.777777777777782|</t>
  </si>
  <si>
    <t>35.097356489030055|53.72683886369751|33.923890140475756|28.28243410034419|25.118163722848333|22.40673779668579|22.881151955111424|20.779043378156647|18.32525456272026|13.033539518426796|9.207654826517121|11.581124685434997|8.350352990247082|</t>
  </si>
  <si>
    <t>160.0|76.0|96.0|84.0|84.0|121.0|160.0|99.0|72.0|52.0|46.0|46.0|42.0|</t>
  </si>
  <si>
    <t>3758|700|618|548|472|398|325|258|189|122|77|42|9|</t>
  </si>
  <si>
    <t>9.919110717773437|1.847625732421875|1.6311895751953125|1.446427001953125|1.24582763671875|1.0505072021484374|0.8578262329101562|0.6809820556640624|0.49885894775390627|0.3220147705078125|0.20323883056640624|0.1108575439453125|0.02375518798828125|</t>
  </si>
  <si>
    <t>46503.0|-7945.0|5842.0|8012.0|7752.0|7717.0|7706.0|6328.0|5029.0|2962.0|1836.0|1014.0|250.0|</t>
  </si>
  <si>
    <t>59.0|59.0|86.0|91.0|90.0|98.0|98.0|96.0|97.0|100.0|101.0|101.0|102.0|</t>
  </si>
  <si>
    <t>101.78791910590749|99.41857142857144|101.49514563106793|102.0018248175182|102.18432203389827|102.48492462311563|102.93230769230773|103.0|103.22751322751324|103.00819672131148|102.94805194805193|102.97619047619048|103.22222222222223|</t>
  </si>
  <si>
    <t>3.5211658167047784|5.389985233405239|3.3814852438713587|2.837766089386195|2.542421433152225|2.256987779882611|2.3061861751723822|2.090955050510606|1.8505210637809526|1.321300288770122|1.017969763234571|1.1647214103461918|1.1331154474650624|</t>
  </si>
  <si>
    <t>117.0|108.0|110.0|109.0|109.0|113.0|117.0|110.0|108.0|106.0|105.0|105.0|105.0|</t>
  </si>
  <si>
    <t>382519.0|69593.0|62724.0|55897.0|48231.0|40789.0|33453.0|26574.0|19510.0|12567.0|7927.0|4325.0|929.0|</t>
  </si>
  <si>
    <t>Wed Apr 02 16:43:51 CDT 2025</t>
  </si>
  <si>
    <t>CHEST AXIALS_CT</t>
  </si>
  <si>
    <t>33.0 &lt;-&gt; 156.0</t>
  </si>
  <si>
    <t>Cluster(s) of 1235.0 5438.0 42783.0  voxels is(are) detected. If more than one cluster the texture calculation is only performed on the largest cluster. (size ok &gt;= 64.0vx)</t>
  </si>
  <si>
    <t>z109.0 y233.0 x185.0</t>
  </si>
  <si>
    <t>z102.30928172404927 y266.42238739686326 x209.09489750601875</t>
  </si>
  <si>
    <t>z102.22340267326732 y266.41418743775665 x209.41154296776344</t>
  </si>
  <si>
    <t>-680.0|-680.0|-265.0|-84.0|-70.0|-74.0|-77.0|-52.0|-81.0|-62.0|-47.0|-51.0|-47.0|-35.0|-43.0|-52.0|-45.0|-40.0|-34.0|-27.0|-9.0|28.0|</t>
  </si>
  <si>
    <t>32.15457074071489|-9.1572550486163|33.326551168412536|41.63300173010392|41.76122209165686|40.11234504132224|39.23387096774192|38.79066753078411|38.871086556169395|37.81148936170204|37.71571072319199|36.70210210210212|37.172413793103445|35.212089077412536|33.156250000000014|30.85825242718446|27.22885572139302|27.22142857142856|28.46774193548387|22.970000000000006|24.521739130434785|28.0|</t>
  </si>
  <si>
    <t>46.64775666695075|99.65959709575377|37.93742903078378|28.386391833687473|26.07524771267472|26.13976326658322|26.106978695906438|25.444860971246086|25.009779894032253|25.466987306366903|25.711985765903897|25.595188204911317|25.274132383463183|25.008070429802675|24.014460975368564|24.488897917583667|25.524885197827402|23.83187177384307|24.076971826218088|22.648379632989204|13.755218978603665|0.0|</t>
  </si>
  <si>
    <t>557.0|557.0|152.0|132.0|118.0|128.0|140.0|113.0|110.0|113.0|107.0|108.0|108.0|112.0|101.0|94.0|90.0|83.0|87.0|92.0|44.0|28.0|</t>
  </si>
  <si>
    <t>42783|5348|4964|4624|4255|3872|3472|3086|2715|2350|2005|1665|1305|943|672|515|402|280|186|100|23|1|</t>
  </si>
  <si>
    <t>44.70198464499612|5.5878786873627195|5.18665478759696|4.8314044596793595|4.4458533684982|4.04567432263808|3.6277327603820795|3.2244191528050394|2.8367783538125995|2.455406678254|2.0949320808081997|1.7396817528906|1.3635343468601997|0.9852972330185199|0.70214182459008|0.5380997614045999|0.42003127006727997|0.29255909357919996|0.19434282644904|0.10448539056399998|0.024031639829719998|0.00104485390564|</t>
  </si>
  <si>
    <t>1375669.0|-48973.0|165433.0|192511.0|177694.0|155315.0|136220.0|119708.0|105535.0|88857.0|75620.0|61109.0|48510.0|33205.0|22281.0|15892.0|10946.0|7622.0|5295.0|2297.0|564.0|28.0|</t>
  </si>
  <si>
    <t>33.0|33.0|74.0|92.0|94.0|93.0|93.0|95.0|92.0|94.0|96.0|95.0|96.0|97.0|96.0|95.0|96.0|97.0|97.0|98.0|100.0|103.0|</t>
  </si>
  <si>
    <t>103.76609868405625|99.63706058339555|103.88235294117696|104.70847750865062|104.72620446533482|104.56069214876044|104.4763824884793|104.43616331821109|104.44567219152863|104.32510638297863|104.31770573566078|104.22522522522522|104.27126436781599|104.07423117709439|103.85565476190473|103.61941747572816|103.2835820895522|103.2785714285714|103.37634408602155|102.83000000000001|103.13043478260867|103.0|</t>
  </si>
  <si>
    <t>4.674067819005043|9.974692495886982|3.8115693436869087|2.8482764958653735|2.6225107139305166|2.6259461766348027|2.626635071417997|2.553315114343055|2.51058434557806|2.5570610393370425|2.5850733476364556|2.581819148282615|2.5343573873649436|2.519658407726353|2.4235324817989286|2.4689944595417788|2.5779738861534565|2.3981178844575353|2.433697034955031|2.2980644029269484|1.328757112168354|0.0|</t>
  </si>
  <si>
    <t>156.0|156.0|116.0|114.0|112.0|113.0|115.0|112.0|112.0|112.0|111.0|111.0|111.0|112.0|111.0|110.0|110.0|109.0|109.0|110.0|105.0|103.0|</t>
  </si>
  <si>
    <t>4439425.0|532859.0|515672.0|484172.0|445610.0|404859.0|362742.0|322290.0|283570.0|245164.0|209157.0|173535.0|136074.0|98142.0|69791.0|53364.0|41520.0|28918.0|19228.0|10283.0|2372.0|103.0|</t>
  </si>
  <si>
    <t>Wed Apr 02 16:45:45 CDT 2025</t>
  </si>
  <si>
    <t>1.0 &lt;-&gt; 174.0</t>
  </si>
  <si>
    <t>Cluster(s) of 578179.0 1.0 3.0  voxels is(are) detected. If more than one cluster the texture calculation is only performed on the largest cluster. (size ok &gt;= 64.0vx)</t>
  </si>
  <si>
    <t>z87.0 y230.0 x235.0</t>
  </si>
  <si>
    <t>z67.06194275475242 y248.21193609591495 x186.87014402114224</t>
  </si>
  <si>
    <t>z67.00086976906474 y248.35319489594275 x186.7227112063295</t>
  </si>
  <si>
    <t>-1019.0|-930.0|-875.0|-899.0|-821.0|-866.0|-1009.0|-1018.0|-1016.0|-1019.0|-960.0|-736.0|-705.0|-747.0|-857.0|-877.0|-684.0|-747.0|-752.0|-740.0|-724.0|-733.0|-763.0|-750.0|-635.0|-650.0|-508.0|-324.0|-142.0|-106.0|-322.0|-301.0|-349.0|-534.0|-570.0|-438.0|-107.0|-89.0|-78.0|-71.0|-64.0|-94.0|-28.0|-23.0|0.0|68.0|</t>
  </si>
  <si>
    <t>39.74097641041904|-10.287419918462437|23.044178565643115|37.265820307722144|41.52147870600026|42.182288374231|41.606534930760866|41.44535895454721|41.201301534210934|41.86754810530043|44.986689347225024|46.98134962561437|49.47097704005554|49.934958466800694|49.96032734388895|50.848578167999|50.94521329718949|50.43509041939199|49.80402717931712|49.315648206137354|50.611524702697494|51.42550956083221|51.884849179951786|51.527781230578086|52.05789401988844|51.00345293499451|53.518524671872335|56.47869344846994|55.641036269429925|54.34976043805594|53.03817765334695|51.4265975820381|51.00581771170005|50.42841530054648|49.22570016474464|51.39626168224307|50.416936353829534|48.468651044965064|49.3304620203602|48.97765957446803|42.300854700854664|42.250825082508264|57.11320754716982|55.938775510204096|64.93333333333334|71.0|</t>
  </si>
  <si>
    <t>77.4485567870944|127.15101232892941|86.5631090395482|69.41204649830681|66.51641055317147|68.29522860053481|74.20817170020958|82.57604536380721|88.83120510177159|87.40022787972977|74.02944998855322|66.75197176957046|61.60818299089666|62.81768431447727|64.67990899763542|64.3181463198319|62.469778639317155|60.85901051710509|60.741166880602115|62.00318213955387|59.574341022880695|56.964867064427104|55.695457513870984|54.52431168237622|50.622436038966065|52.986291180667614|51.05757866379525|46.95473364604923|45.48544440600917|44.48023352419047|45.49104911231176|46.25503685835547|46.910151832539434|47.907736858032486|47.96373525522514|44.022901697587415|42.60221358155946|41.15002286023114|37.79533709195623|39.1686822744671|38.0954502874401|38.20497683672661|35.709868821112686|37.6077543910476|32.04989166215005|3.0|</t>
  </si>
  <si>
    <t>731.0|731.0|379.0|373.0|393.0|400.0|426.0|424.0|426.0|405.0|394.0|388.0|402.0|386.0|377.0|416.0|373.0|430.0|377.0|307.0|335.0|351.0|329.0|304.0|287.0|312.0|294.0|328.0|357.0|338.0|364.0|361.0|383.0|384.0|323.0|307.0|271.0|232.0|180.0|176.0|163.0|174.0|122.0|154.0|134.0|74.0|</t>
  </si>
  <si>
    <t>578179|44642|43211|40881|37898|34802|32135|29767|27506|25413|23515|21769|20122|18419|16863|15262|14018|12995|12068|11177|10343|9518|8719|8045|7341|6661|6019|5327|4825|4383|3929|3474|3094|2745|2428|2140|1854|1579|1277|940|585|303|106|49|30|2|</t>
  </si>
  <si>
    <t>360.28114185333254|27.817805099487305|26.926104927062987|25.47421016693115|23.615410995483398|21.686198043823243|20.02430820465088|18.54873447418213|17.13983573913574|15.835622978210449|14.652920722961426|13.564934349060058|12.538637924194337|11.477446174621582|10.507854652404784|9.510222244262696|8.735047531127929|8.09758472442627|7.5199424743652346|6.964732933044433|6.445041847229004|5.930958938598633|5.433077430725097|5.013087272644043|4.574403190612793|4.1506742477417|3.7506242752075196|3.3194177627563475|3.006606101989746|2.7311822891235353|2.448280906677246|2.1647563934326173|1.9279666900634767|1.710494041442871|1.5129615783691406|1.3334999084472656|1.1552845001220704|0.9839235305786133|0.7957380294799805|0.5857429504394531|0.3645315170288086|0.18880863189697267|0.06605186462402343|0.030533409118652342|0.018693923950195312|0.0012462615966796875|</t>
  </si>
  <si>
    <t>2.2977398E7|-459251.0|995762.0|1523464.0|1573581.0|1468028.0|1337026.0|1233704.0|1133283.0|1063980.0|1057862.0|1022737.0|995455.0|919752.0|842481.0|776051.0|714150.0|655404.0|601035.0|551201.0|523475.0|489468.0|452384.0|414541.0|382157.0|339734.0|322128.0|300862.0|268468.0|238215.0|208387.0|178656.0|157812.0|138426.0|119520.0|109988.0|93473.0|76532.0|62995.0|46039.0|24746.0|12802.0|6054.0|2741.0|1948.0|142.0|</t>
  </si>
  <si>
    <t>1.0|8.0|13.0|11.0|18.0|14.0|1.0|1.0|1.0|1.0|5.0|27.0|30.0|26.0|15.0|13.0|32.0|26.0|25.0|27.0|28.0|27.0|24.0|26.0|37.0|36.0|50.0|68.0|86.0|90.0|68.0|70.0|66.0|47.0|44.0|57.0|90.0|92.0|93.0|93.0|94.0|91.0|98.0|98.0|101.0|107.0|</t>
  </si>
  <si>
    <t>104.52374610631219|99.52101160342323|102.85656430075659|104.27695017245225|104.69877038366118|104.767398425378|104.71180955344693|104.6926798132161|104.67265323929318|104.73651280840531|105.04813948543479|105.24617575451336|105.49766424808682|105.54188609587914|105.54219296685035|105.63399292360054|105.64681124268824|105.59869180453977|105.52726218097418|105.4853717455486|105.61471526636386|105.6920571548645|105.73540543640343|105.69571162212559|105.75602778912963|105.65050292748832|105.90197707260384|106.19504411488657|106.10922279792742|105.9847136664386|105.85288877576997|105.6931491076569|105.64318034906269|105.58032786885248|105.47240527182853|105.69205607476661|105.593851132686|105.40341988600375|105.48786217697709|105.45106382978726|104.75897435897427|104.73597359735979|106.30188679245278|106.10204081632654|107.03333333333336|107.5|</t>
  </si>
  <si>
    <t>7.7488734158077515|12.719433476911144|8.662824329555939|6.948296070336112|6.655907299260888|6.835557474935375|7.422831712315704|8.257143721976096|8.88012168303187|8.734225291798028|7.409396044116605|6.683900465454894|6.168525770302982|6.284090197692781|6.4729294552707035|6.436984668340051|6.251736026339132|6.092566559069899|6.081700074733276|6.206692009663276|5.965332509573015|5.7062138221563234|5.577638948363825|5.45941693946809|5.07287910432272|5.300862183757143|5.116878930283617|4.701575792870436|4.555368968874968|4.455575219849101|4.562536526451436|4.630158731174038|4.697097506500559|4.7974848337841705|4.794936199815567|4.406667895448993|4.271728509257457|4.1334623243672635|3.8040350607913687|3.928178200470183|3.832166017275076|3.819732459912538|3.6086108008085818|3.8185631337582073|3.188346837399521|0.5|</t>
  </si>
  <si>
    <t>174.0|174.0|138.0|138.0|140.0|141.0|143.0|143.0|143.0|141.0|140.0|139.0|141.0|139.0|138.0|142.0|138.0|144.0|138.0|131.0|134.0|136.0|133.0|131.0|129.0|132.0|130.0|133.0|136.0|134.0|137.0|137.0|139.0|139.0|133.0|131.0|128.0|124.0|119.0|118.0|117.0|118.0|113.0|116.0|114.0|108.0|</t>
  </si>
  <si>
    <t>6.0433435E7|4442817.0|4444535.0|4262946.0|3967874.0|3646115.0|3364914.0|3116387.0|2879126.0|2661669.0|2470207.0|2291104.0|2122824.0|1943976.0|1779758.0|1612186.0|1480957.0|1372255.0|1273503.0|1179010.0|1092373.0|1005977.0|921907.0|850322.0|776355.0|703738.0|637424.0|565701.0|511977.0|464531.0|415896.0|367178.0|326860.0|289818.0|256087.0|226181.0|195771.0|166432.0|134708.0|99124.0|61284.0|31735.0|11268.0|5199.0|3211.0|215.0|</t>
  </si>
  <si>
    <t>Wed Apr 02 16:46:29 CDT 2025</t>
  </si>
  <si>
    <t>1.0 &lt;-&gt; 387.0</t>
  </si>
  <si>
    <t>Cluster(s) of 159568.0 1.0 1.0  voxels is(are) detected. If more than one cluster the texture calculation is only performed on the largest cluster. (size ok &gt;= 64.0vx)</t>
  </si>
  <si>
    <t>z112.0 y215.0 x224.0</t>
  </si>
  <si>
    <t>z102.2798994785922 y190.3791612353354 x200.77022961997392</t>
  </si>
  <si>
    <t>z102.36529643791488 y190.85327997782792 x200.97839799503896</t>
  </si>
  <si>
    <t>-1005.0|-1005.0|-973.0|-901.0|-795.0|-793.0|-925.0|-947.0|-783.0|-618.0|-525.0|-435.0|-598.0|-513.0|-233.0|-149.0|-69.0|-63.0|-35.0|-27.0|-13.0|-5.0|-16.0|4.0|18.0|11.0|57.0|</t>
  </si>
  <si>
    <t>45.00749523714015|-3.796497584541187|28.45371486580803|42.62742254449583|47.50938578329866|49.2123789967733|50.488752881328914|52.70245966675503|55.04401443753748|56.84415882487943|57.79942317776607|58.17512921860747|58.5723875181421|58.439947780678885|58.75964546402513|60.32954186413899|61.802552852014294|63.207805372529094|65.93907971484126|67.78614200171087|70.7885906040269|74.87375886524813|79.37499999999994|86.247191011236|91.18695652173913|91.03703703703701|96.89473684210527|</t>
  </si>
  <si>
    <t>90.42275479852039|195.09684610396494|115.2420300600182|81.80965181046075|67.72079509707963|62.675254404734815|58.766247752711486|56.14037550248518|51.03182939652704|43.96866825241838|40.6169566559891|39.73623557441546|42.54045099075868|42.43696606872649|39.086747435786066|35.46651086139017|35.671960094745195|36.341239057826755|34.24071581091446|31.956484199274282|29.338970953014606|30.15914677337345|29.949954250639244|31.47704028563184|32.22616819952687|32.57268963010837|21.942256125524477|</t>
  </si>
  <si>
    <t>2860.0|2860.0|1053.0|804.0|1147.0|1186.0|809.0|397.0|405.0|344.0|427.0|451.0|414.0|419.0|420.0|377.0|376.0|377.0|319.0|252.0|171.0|177.0|190.0|177.0|185.0|177.0|153.0|</t>
  </si>
  <si>
    <t>159568|16560|15761|15170|14490|13636|12581|11343|9974|8714|7628|6578|5512|4596|3836|3165|2507|1973|1543|1169|894|705|520|356|230|108|19|</t>
  </si>
  <si>
    <t>74.6842811279297|7.750750122070312|7.376785789489746|7.100173873901367|6.781906356811524|6.382199798583985|5.888417106628418|5.3089830093383785|4.668235610961914|4.078504623413086|3.5702126770019533|3.0787701873779296|2.5798390502929687|2.1511139831542967|1.7954032287597657|1.4813480758666993|1.1733774490356446|0.9234438400268554|0.7221864395141602|0.5471393051147461|0.4184281768798828|0.3299685287475586|0.24338104248046874|0.16662240600585937|0.10764930725097656|0.05054837036132812|0.008892768859863282|</t>
  </si>
  <si>
    <t>7181756.0|-62870.0|448459.0|646658.0|688411.0|671060.0|635199.0|597804.0|549009.0|495340.0|440894.0|382676.0|322851.0|268590.0|225402.0|190943.0|154939.0|124709.0|101744.0|79242.0|63285.0|52786.0|41275.0|30704.0|20973.0|9832.0|1841.0|</t>
  </si>
  <si>
    <t>1.0|1.0|3.0|10.0|21.0|21.0|8.0|6.0|22.0|39.0|48.0|57.0|41.0|49.0|77.0|86.0|94.0|94.0|97.0|98.0|99.0|100.0|99.0|101.0|102.0|102.0|106.0|</t>
  </si>
  <si>
    <t>105.05114433971663|100.17035024154524|103.39610430810227|104.8123928806859|105.30103519668751|105.46993253153414|105.59494475796838|105.82306268183028|106.05253659514753|106.24190957080566|106.32760880964862|106.36667680145905|106.40965166908562|106.39033942558737|106.43274244004184|106.58546603475486|106.7315516553651|106.863659401926|107.14906027219716|107.32934131736522|107.6454138702461|108.05248226950354|108.50769230769224|109.20505617977526|109.63043478260875|109.66666666666666|110.21052631578948|</t>
  </si>
  <si>
    <t>9.048562126422295|19.5147232320674|11.528906522476122|8.186520707916673|6.779169188344489|6.278824247820602|5.886075242900896|5.624218474433215|5.112887176747388|4.41006910431007|4.072692670448436|3.9883833969977296|4.25836934257301|4.253287549199347|3.92664913082964|3.553345727207126|3.580870053586197|3.6485438832327795|3.4256964358940794|3.20529443228186|2.940612066450737|3.0319944413271642|3.0057538510359985|3.1685032171820904|3.2340491220770824|3.2460802573314544|2.261321164099036|</t>
  </si>
  <si>
    <t>387.0|387.0|206.0|181.0|215.0|219.0|181.0|140.0|141.0|135.0|143.0|146.0|142.0|142.0|143.0|138.0|138.0|138.0|132.0|126.0|118.0|118.0|120.0|118.0|119.0|118.0|116.0|</t>
  </si>
  <si>
    <t>1.6762801E7|1658821.0|1629626.0|1590004.0|1525812.0|1438188.0|1328490.0|1200351.0|1057768.0|925792.0|811067.0|699680.0|586530.0|488970.0|408276.0|337343.0|267576.0|210842.0|165331.0|125468.0|96235.0|76177.0|56424.0|38877.0|25215.0|11844.0|2094.0|</t>
  </si>
  <si>
    <t>Wed Apr 02 16:47:02 CDT 2025</t>
  </si>
  <si>
    <t>9_AXIAL 5.0_CT</t>
  </si>
  <si>
    <t>39.0 &lt;-&gt; 132.0</t>
  </si>
  <si>
    <t>Cluster(s) of 4898.0 22123.0  voxels is(are) detected. If more than one cluster the texture calculation is only performed on the largest cluster. (size ok &gt;= 64.0vx)</t>
  </si>
  <si>
    <t>z34.0 y296.0 x254.0</t>
  </si>
  <si>
    <t>z34.51335713962844 y318.2974280160918 x259.09722912805677</t>
  </si>
  <si>
    <t>z34.505759319512904 y318.26865366976307 x258.93394663247733</t>
  </si>
  <si>
    <t>-616.0|-616.0|-273.0|-110.0|-68.0|-47.0|-34.0|-154.0|-188.0|-18.0|-1.0|14.0|9.0|20.0|20.0|25.0|37.0|</t>
  </si>
  <si>
    <t>44.55833295665154|10.590197413206258|39.85554351751532|47.937523809523825|49.680291380008164|50.3466083150985|50.17548879351454|50.493555316863585|50.9484732824427|53.17169179229481|56.92202970297028|61.195079086115946|61.19512195121955|61.11418685121109|58.366906474820155|64.22222222222221|68.35714285714286|</t>
  </si>
  <si>
    <t>45.66554420914671|91.25281982771668|48.87768290730966|35.71495487169948|27.111976310961193|22.80219850253456|21.899970060753304|23.192435322975896|23.56770910435299|21.815040283368145|20.60388096286209|18.506225913924887|18.418335922549026|16.162157500328743|14.251161197112085|16.04776819989405|17.65788833377772|</t>
  </si>
  <si>
    <t>312.0|312.0|191.0|188.0|160.0|114.0|118.0|123.0|126.0|138.0|147.0|126.0|118.0|105.0|87.0|108.0|102.0|</t>
  </si>
  <si>
    <t>22123|2938|2769|2625|2471|2285|2097|1862|1572|1194|808|569|410|289|139|81|14|</t>
  </si>
  <si>
    <t>53.77872900009155|7.141974678039551|6.73115312576294|6.381103992462158|6.006745891571045|5.554599094390869|5.097590503692627|4.526329765319824|3.8213697052001954|2.9024907302856446|1.9641645812988282|1.3831802558898927|0.9966676712036133|0.7025291633605957|0.3378946495056152|0.19690263748168946|0.034032554626464845|</t>
  </si>
  <si>
    <t>985764.0|31114.0|110360.0|125836.0|122760.0|115042.0|105218.0|94019.0|80091.0|63487.0|45993.0|34820.0|25090.0|17662.0|8113.0|5202.0|957.0|</t>
  </si>
  <si>
    <t>39.0|39.0|73.0|90.0|94.0|96.0|97.0|85.0|82.0|99.0|100.0|102.0|101.0|103.0|103.0|103.0|104.0|</t>
  </si>
  <si>
    <t>105.00348054061357|101.61640571817554|104.53954496208|105.33828571428589|105.51274787535394|105.58512035010949|105.55937052932765|105.58646616541357|105.63804071246805|105.8701842546064|106.23514851485145|106.68541300527251|106.6609756097561|106.63321799307958|106.38848920863309|106.92592592592597|107.5|</t>
  </si>
  <si>
    <t>4.574735772250131|9.132797762880022|4.89764943239886|3.5756638963022906|2.7268282393348127|2.3075078765619668|2.205561355147552|2.338623874390491|2.3712448772875834|2.194648310226772|2.0816625656789993|1.8544057300117618|1.8766054003634878|1.6566121130075846|1.4419750213210227|1.6084482037487784|1.8803495115840239|</t>
  </si>
  <si>
    <t>132.0|132.0|120.0|119.0|117.0|112.0|112.0|113.0|113.0|114.0|115.0|113.0|112.0|111.0|109.0|111.0|111.0|</t>
  </si>
  <si>
    <t>2322992.0|298549.0|289470.0|276513.0|260722.0|241262.0|221358.0|196602.0|166063.0|126409.0|85838.0|60704.0|43731.0|30817.0|14788.0|8661.0|1505.0|</t>
  </si>
  <si>
    <t>Wed Apr 02 16:47:30 CDT 2025</t>
  </si>
  <si>
    <t>70.0 &lt;-&gt; 106.0</t>
  </si>
  <si>
    <t>Cluster(s) of 2565.0 619.0  voxels is(are) detected. If more than one cluster the texture calculation is only performed on the largest cluster. (size ok &gt;= 64.0vx)</t>
  </si>
  <si>
    <t>z89.0 y397.0 x172.0</t>
  </si>
  <si>
    <t>z88.86432748538012 y392.29395711500973 x169.15087719298245</t>
  </si>
  <si>
    <t>z88.85656156708788 y392.2676549571286 x169.03550211971265</t>
  </si>
  <si>
    <t>-301.0|-301.0|-254.0|-262.0|-108.0|-61.0|-29.0|-31.0|-24.0|-19.0|-17.0|-14.0|</t>
  </si>
  <si>
    <t>-14.999999999999988|-47.67037861915364|-24.918316831683168|-15.314207650273211|-8.702786377708977|-2.907142857142858|0.44871794871794796|2.0421052631578935|4.47019867549669|7.755102040816328|4.26|4.25|</t>
  </si>
  <si>
    <t>39.247393476979425|62.276544255800005|42.20653791430303|32.13729368097459|19.643216042912766|14.102632190264245|11.986795551235272|11.05718703113732|13.486224488488448|14.453345933141469|10.803351331878453|12.747058484215094|</t>
  </si>
  <si>
    <t>54.0|35.0|41.0|36.0|27.0|47.0|42.0|38.0|49.0|54.0|27.0|31.0|</t>
  </si>
  <si>
    <t>2565|449|404|366|323|280|234|190|151|98|50|20|</t>
  </si>
  <si>
    <t>6.770228576660156|1.1851199340820313|1.066343994140625|0.9660443115234375|0.8525473022460938|0.73905029296875|0.6176348876953125|0.5014984130859375|0.39855926513671874|0.2586676025390625|0.1319732666015625|0.052789306640625|</t>
  </si>
  <si>
    <t>-38475.0|-21404.0|-10067.0|-5605.0|-2811.0|-814.0|105.0|388.0|675.0|760.0|213.0|85.0|</t>
  </si>
  <si>
    <t>Wed Apr 02 16:48:00 CDT 2025</t>
  </si>
  <si>
    <t>3.0 &lt;-&gt; 139.0</t>
  </si>
  <si>
    <t>Cluster(s) of 45278.0 1201.0 2005.0 1989.0  voxels is(are) detected. If more than one cluster the texture calculation is only performed on the largest cluster. (size ok &gt;= 64.0vx)</t>
  </si>
  <si>
    <t>z84.0 y339.0 x188.0</t>
  </si>
  <si>
    <t>z81.93436105835063 y366.2011131233712 x165.6524360616635</t>
  </si>
  <si>
    <t>z81.9199763564823 y366.36275138315864 x165.73331626558303</t>
  </si>
  <si>
    <t>-975.0|-975.0|-635.0|-243.0|-176.0|-203.0|-187.0|-267.0|-190.0|-18.0|-30.0|-45.0|-102.0|-105.0|-14.0|7.0|-24.0|-106.0|-149.0|-132.0|-91.0|-69.0|-49.0|-18.0|-23.0|108.0|</t>
  </si>
  <si>
    <t>106.4444321745665|31.526176378934235|78.73842703828288|110.48094994020157|126.80580619850885|132.4433136094673|132.42489137181877|134.2576540755471|136.2261178861788|134.3559928443649|133.50720658888122|131.69814366424524|127.21338912133885|124.57160647571602|124.5587392550143|123.7447833065811|121.96422182468697|119.73921971252565|120.33418367346928|120.18181818181816|117.49009900990099|113.3825503355705|112.53636363636362|109.87878787878788|103.94444444444446|139.33333333333334|</t>
  </si>
  <si>
    <t>74.13023145986895|120.97271962763094|78.57135972995985|53.05649327731486|45.68229049635565|45.24918691900042|46.14804706814359|41.60111177669741|34.599922881192576|30.779269486077|31.4776142998726|32.65471160887229|34.278310667792624|34.376941949043804|30.772436120196183|30.40192030942116|32.76034527604272|36.254968671828394|38.80068186397143|37.74761935625324|32.99508515740871|35.03949781202075|36.54080590063345|40.27237384982985|51.38252212812168|23.34285520001546|</t>
  </si>
  <si>
    <t>385.0|385.0|346.0|342.0|309.0|279.0|308.0|316.0|286.0|287.0|281.0|269.0|237.0|179.0|190.0|185.0|184.0|184.0|190.0|204.0|175.0|166.0|177.0|171.0|165.0|164.0|</t>
  </si>
  <si>
    <t>45278|6418|6243|5853|5098|4225|3222|2515|1968|1677|1457|1239|956|803|698|623|559|487|392|297|202|149|110|66|18|3|</t>
  </si>
  <si>
    <t>90.09949611663818|12.771292152404785|12.423056545257568|11.646988620758057|10.144600715637207|8.407402515411377|6.411515007019043|5.004643154144287|3.9161581420898437|3.3370920753479005|2.8993101692199708|2.465508098602295|1.9023613739013672|1.5979039573669434|1.3889625930786134|1.2397187614440919|1.1123640251159668|0.9690899467468261|0.7800477600097656|0.5910055732727051|0.4019633865356445|0.296497745513916|0.21889095306396483|0.1313345718383789|0.03581851959228516|0.005969753265380859|</t>
  </si>
  <si>
    <t>4819591.0|202335.0|491564.0|646645.0|646456.0|559573.0|426673.0|337658.0|268093.0|225315.0|194520.0|163174.0|121616.0|100031.0|86942.0|77093.0|68178.0|58313.0|47171.0|35694.0|23733.0|16894.0|12379.0|7252.0|1871.0|418.0|</t>
  </si>
  <si>
    <t>3.0|3.0|37.0|76.0|83.0|80.0|82.0|74.0|82.0|99.0|98.0|96.0|90.0|90.0|99.0|101.0|98.0|90.0|86.0|87.0|91.0|94.0|96.0|99.0|98.0|111.0|</t>
  </si>
  <si>
    <t>111.19693891072828|103.70286693674045|108.42719846227781|111.6015718434991|113.23813260101993|113.79431952662715|113.79733085040357|113.97335984095412|114.17428861788635|113.98032200357777|113.90459849004814|113.71912832929797|113.26987447698744|113.01494396014941|113.01432664756439|112.92937399678985|112.7620751341682|112.53182751540051|112.5994897959184|112.55555555555554|112.29702970297028|111.88590604026848|111.70909090909089|111.5909090909091|111.05555555555556|114.33333333333333|</t>
  </si>
  <si>
    <t>7.4194570874270545|12.104061931679297|7.858854806070877|5.313941534780531|4.577884198970549|4.543185642207418|4.617681756695513|4.1724846643328535|3.4802884981738065|3.094260621401058|3.1535557156039657|3.2813037845819073|3.4295620420315394|3.449659443634802|3.087514540300633|3.045638002795967|3.2792937393682315|3.6497747317369735|3.880261371495526|3.800289433126523|3.3197415933536845|3.5113052341753805|3.6315422582635253|3.9885338413829152|5.16905560063626|2.4944382578492945|</t>
  </si>
  <si>
    <t>139.0|139.0|135.0|135.0|131.0|128.0|131.0|132.0|129.0|129.0|129.0|127.0|124.0|118.0|120.0|119.0|119.0|119.0|120.0|121.0|118.0|117.0|118.0|118.0|117.0|117.0|</t>
  </si>
  <si>
    <t>5034775.0|665565.0|676911.0|653204.0|577288.0|480781.0|366655.0|286643.0|224695.0|191145.0|165959.0|140898.0|108286.0|90751.0|78884.0|70355.0|63034.0|54803.0|44139.0|33429.0|22684.0|16671.0|12288.0|7365.0|1999.0|343.0|</t>
  </si>
  <si>
    <t>Wed Apr 02 16:48:24 CDT 2025</t>
  </si>
  <si>
    <t>15.0 &lt;-&gt; 122.0</t>
  </si>
  <si>
    <t>Cluster(s) of 11636.0 1.0 1.0 6.0  voxels is(are) detected. If more than one cluster the texture calculation is only performed on the largest cluster. (size ok &gt;= 64.0vx)</t>
  </si>
  <si>
    <t>z100.0 y219.0 x228.0</t>
  </si>
  <si>
    <t>z97.22593674802337 y244.52320385012032 x232.0075627363355</t>
  </si>
  <si>
    <t>z97.22342704425355 y244.40524231755683 x232.11328078696485</t>
  </si>
  <si>
    <t>-854.0|-854.0|-832.0|-640.0|-170.0|-6.0|-8.0|1.0|-4.0|-1.0|-3.0|6.0|22.0|25.0|</t>
  </si>
  <si>
    <t>56.609144035750965|15.862745098039184|55.353329334133186|69.49446254071667|72.63872832369934|73.26354679802961|70.61078998073228|63.228571428571456|57.84984984984986|54.89530685920578|49.65721040189124|50.81533101045295|53.02068965517239|52.13953488372093|</t>
  </si>
  <si>
    <t>66.4195458149655|125.30043071231273|72.6156149041495|48.138343679472314|35.33985865766206|32.48723889265598|30.79318730725525|28.01972337406607|27.074665556428737|26.289622933836664|22.063378272061186|18.2752105040431|16.816030515047135|17.76144425741466|</t>
  </si>
  <si>
    <t>211.0|211.0|184.0|177.0|177.0|173.0|169.0|149.0|136.0|135.0|121.0|101.0|98.0|97.0|</t>
  </si>
  <si>
    <t>11636|1836|1667|1535|1384|1218|1038|840|666|554|423|287|145|43|</t>
  </si>
  <si>
    <t>18.153729553222657|2.864407653808594|2.600744857788086|2.394807052612305|2.1592266845703123|1.9002442932128907|1.6194200134277343|1.3105133056640625|1.039049835205078|0.8643147277832032|0.6599370574951172|0.44775871276855467|0.2262195587158203|0.06708580017089844|</t>
  </si>
  <si>
    <t>658704.0|29124.0|92274.0|106674.0|100532.0|89235.0|73294.0|53112.0|38528.0|30412.0|21005.0|14584.0|7688.0|2242.0|</t>
  </si>
  <si>
    <t>15.0|15.0|17.0|37.0|84.0|100.0|100.0|101.0|100.0|100.0|100.0|101.0|103.0|103.0|</t>
  </si>
  <si>
    <t>106.21063939498124|102.130174291939|106.08578284343116|107.50423452768716|107.82297687861279|107.8694581280787|107.61368015414263|106.8654761904762|106.33333333333341|106.0433212996389|105.50827423167853|105.62717770034848|105.89655172413788|105.67441860465117|</t>
  </si>
  <si>
    <t>6.649933527472996|12.538652404028744|7.274411070371906|4.814725138570268|3.5361090818542023|3.2629989935877712|3.081751519751476|2.8182650035767525|2.711891287340694|2.6467609415291187|2.234333977264836|1.8470317217000227|1.7008076699272132|1.8391217599783791|</t>
  </si>
  <si>
    <t>122.0|122.0|119.0|118.0|118.0|118.0|117.0|115.0|114.0|114.0|113.0|111.0|110.0|110.0|</t>
  </si>
  <si>
    <t>1235867.0|187511.0|176845.0|165019.0|149227.0|131385.0|111703.0|89767.0|70818.0|58748.0|44630.0|30315.0|15355.0|4544.0|</t>
  </si>
  <si>
    <t>Wed Apr 02 16:48:59 CDT 2025</t>
  </si>
  <si>
    <t>37.0 &lt;-&gt; 203.0</t>
  </si>
  <si>
    <t>Cluster(s) of 56327.0  voxels is(are) detected. If more than one cluster the texture calculation is only performed on the largest cluster. (size ok &gt;= 64.0vx)</t>
  </si>
  <si>
    <t>z77.0 y336.0 x275.0</t>
  </si>
  <si>
    <t>z77.97452376302661 y341.0446322367603 x239.54188932483532</t>
  </si>
  <si>
    <t>z77.97894302920149 y341.13551222222986 x239.57585483112592</t>
  </si>
  <si>
    <t>-635.0|-635.0|-180.0|-96.0|-91.0|-100.0|-103.0|-77.0|-49.0|-50.0|-9.0|3.0|8.0|7.0|-8.0|2.0|4.0|-5.0|5.0|-1.0|-14.0|10.0|11.0|7.0|26.0|54.0|63.0|</t>
  </si>
  <si>
    <t>60.23622774158005|30.677381648159002|49.92385173247387|56.14483471074382|59.669147352753626|62.09359605911337|64.73352435530087|66.29019607843153|66.96558589306008|68.24229212083452|68.51523450872965|68.22119102861555|68.78385772913828|68.10434322033905|67.92326580724364|66.90895953757233|66.6834470989761|64.77169421487594|64.24456521739121|64.76975945017185|65.10191082802551|65.20221606648191|64.4941634241245|66.83977900552495|67.59405940594058|77.44186046511628|78.99999999999999|</t>
  </si>
  <si>
    <t>39.32130890168477|90.57060683534556|42.26005693987428|34.09430125810569|31.83498274814536|30.084248313811916|27.388519428064047|24.29503772648826|22.36404275591163|20.978949398990178|20.05729188881608|18.647288707825318|19.190569348546997|19.300539593339437|18.836627724479662|18.726401891959167|18.817961222407188|19.945238677187255|19.71143656187197|19.798605758398754|19.12930124704288|18.81137145239747|20.126278507388054|18.16534761833112|17.469168437491838|13.523970666382752|15.165750888103101|</t>
  </si>
  <si>
    <t>1026.0|1026.0|422.0|144.0|141.0|166.0|171.0|139.0|143.0|147.0|132.0|133.0|128.0|128.0|124.0|124.0|126.0|131.0|116.0|117.0|116.0|110.0|122.0|112.0|127.0|117.0|108.0|</t>
  </si>
  <si>
    <t>56327|5133|4964|4840|4703|4466|4188|3825|3516|3211|2921|2586|2193|1888|1629|1384|1172|968|736|582|471|361|257|181|101|43|8|</t>
  </si>
  <si>
    <t>139.23605346679688|12.688385009765625|12.2706298828125|11.964111328125|11.625457763671875|11.03961181640625|10.3524169921875|9.455108642578125|8.6912841796875|7.937347412109375|7.220489501953125|6.39239501953125|5.420928955078125|4.6669921875|4.026763916015625|3.421142578125|2.8970947265625|2.392822265625|1.8193359375|1.43865966796875|1.164276123046875|0.892364501953125|0.635284423828125|0.447418212890625|0.249664306640625|0.106292724609375|0.019775390625|</t>
  </si>
  <si>
    <t>3392926.0|157467.0|247822.0|271741.0|280624.0|277310.0|271104.0|253560.0|235451.0|219126.0|200133.0|176420.0|150843.0|128581.0|110647.0|92602.0|78153.0|62699.0|47284.0|37696.0|30663.0|23538.0|16575.0|12098.0|6827.0|3330.0|632.0|</t>
  </si>
  <si>
    <t>37.0|37.0|83.0|91.0|91.0|91.0|90.0|93.0|96.0|96.0|100.0|101.0|101.0|101.0|100.0|101.0|101.0|100.0|101.0|100.0|99.0|102.0|102.0|101.0|103.0|106.0|107.0|</t>
  </si>
  <si>
    <t>106.57590498340097|103.62711864406788|105.5483481063658|106.16219008264477|106.5162662130556|106.75794894760402|107.02101241642818|107.1790849673206|107.24658703071678|107.37651821862353|107.40534063676816|107.37973704563015|107.4363885088919|107.34533898305077|107.34254143646423|107.25650289017354|107.21843003412978|107.0371900826446|106.98913043478274|107.02061855670111|107.06157112526543|107.10249307479225|107.02334630350192|107.22099447513807|107.30693069306929|108.25581395348837|108.5|</t>
  </si>
  <si>
    <t>3.942512174338994|9.062162803575125|4.238683479798434|3.4240182518003515|3.199926430245526|3.022210023914951|2.753835170097742|2.4423457489648|2.255647005675259|2.1216351874152215|2.0261958431213176|1.8891453504533746|1.9333839872199392|1.9458831737204723|1.9022880279346417|1.8968984180427673|1.8980144806229098|2.004813720717627|1.9904367295372876|2.003327377037244|1.9403057726105186|1.9130748235296375|2.0192265751484952|1.8584735330097255|1.7046388326129385|1.313490348506318|1.4142135623730956|</t>
  </si>
  <si>
    <t>203.0|203.0|143.0|115.0|115.0|117.0|118.0|114.0|115.0|115.0|114.0|114.0|113.0|113.0|113.0|113.0|113.0|114.0|112.0|112.0|112.0|112.0|113.0|112.0|113.0|112.0|111.0|</t>
  </si>
  <si>
    <t>6003101.0|531918.0|523942.0|513825.0|500946.0|476781.0|448204.0|409960.0|377079.0|344786.0|313731.0|277684.0|235608.0|202668.0|174861.0|148443.0|125660.0|103612.0|78744.0|62286.0|50426.0|38664.0|27505.0|19407.0|10838.0|4655.0|868.0|</t>
  </si>
  <si>
    <t>Wed Apr 02 16:49:33 CDT 2025</t>
  </si>
  <si>
    <t>16_Chest/Arterial_CT</t>
  </si>
  <si>
    <t>21.0 &lt;-&gt; 147.0</t>
  </si>
  <si>
    <t>Cluster(s) of 7299.0  voxels is(are) detected. If more than one cluster the texture calculation is only performed on the largest cluster. (size ok &gt;= 64.0vx)</t>
  </si>
  <si>
    <t>z191.0 y328.0 x307.0</t>
  </si>
  <si>
    <t>z192.35388409371146 y310.7391423482669 x323.13029182079737</t>
  </si>
  <si>
    <t>z191.67023330155612 y301.04140521620354 x330.3451810114635</t>
  </si>
  <si>
    <t>-800.0|-800.0|-765.0|-538.0|-371.0|-413.0|-116.0|-32.0|6.0|</t>
  </si>
  <si>
    <t>-28.88655980271274|-68.70306859205776|-24.399683210137262|-7.953125000000009|-1.1791845493562243|-2.488695652173915|4.406250000000001|7.042553191489362|8.666666666666666|</t>
  </si>
  <si>
    <t>103.41095825574007|140.59106890141945|97.40133078969704|71.41933081524924|46.76386985482017|48.243831351957006|22.587728895393315|17.56563066659594|1.8856180831641267|</t>
  </si>
  <si>
    <t>465.0|465.0|253.0|292.0|100.0|79.0|79.0|45.0|10.0|</t>
  </si>
  <si>
    <t>7299|2216|1894|1408|932|575|224|47|3|</t>
  </si>
  <si>
    <t>6.361899993896484|1.931493408203125|1.6508341674804687|1.22723046875|0.8123428955078125|0.5011772155761719|0.1952412109375|0.040965789794921874|0.002614837646484375|</t>
  </si>
  <si>
    <t>-210843.0|-152246.0|-46213.0|-11198.0|-1099.0|-1431.0|987.0|331.0|26.0|</t>
  </si>
  <si>
    <t>21.0|21.0|24.0|47.0|63.0|59.0|89.0|97.0|101.0|</t>
  </si>
  <si>
    <t>97.66296752979842|93.68005415162459|98.10929250263982|99.76562500000003|100.42381974248924|100.30608695652178|101.00446428571428|101.21276595744679|101.66666666666667|</t>
  </si>
  <si>
    <t>10.344477107159038|14.05825551096251|9.742307404558609|7.1512999578151994|4.695627497833332|4.834680637022856|2.278583848768204|1.797589049819951|0.47140452079103085|</t>
  </si>
  <si>
    <t>147.0|147.0|126.0|130.0|111.0|108.0|108.0|105.0|102.0|</t>
  </si>
  <si>
    <t>712842.0|207595.0|185819.0|140470.0|93595.0|57676.0|22625.0|4757.0|305.0|</t>
  </si>
  <si>
    <t>Wed Apr 02 16:50:01 CDT 2025</t>
  </si>
  <si>
    <t>2_Lung_CT</t>
  </si>
  <si>
    <t>17.0 &lt;-&gt; 140.0</t>
  </si>
  <si>
    <t>Cluster(s) of 1228.0 18451.0  voxels is(are) detected. If more than one cluster the texture calculation is only performed on the largest cluster. (size ok &gt;= 64.0vx)</t>
  </si>
  <si>
    <t>z65.0 y264.0 x228.0</t>
  </si>
  <si>
    <t>z66.9442306650046 y272.945206221885 x208.23776489079182</t>
  </si>
  <si>
    <t>z66.57631741078305 y271.4848378056212 x208.01911576607043</t>
  </si>
  <si>
    <t>-839.0|-839.0|-498.0|-480.0|-255.0|-218.0|-284.0|-254.0|-232.0|-62.0|-42.0|-58.0|-44.0|-43.0|-21.0|-14.0|-27.0|55.0|</t>
  </si>
  <si>
    <t>64.74532545661513|-9.33529594050203|64.93747829107316|79.88827910623283|83.60412757973731|86.61912846632706|86.8771186440679|87.25327510917036|83.1394849785408|90.47831800262814|85.2419080068144|83.6022727272727|76.7700729927007|80.00584795321647|72.9191919191919|74.27450980392159|43.0|76.0|</t>
  </si>
  <si>
    <t>94.99922105865784|167.30620350039504|81.4167891496176|59.37138083478135|55.84690731037675|53.02485068090995|51.91894363411069|51.98376090252229|47.37225726660105|47.13028733793062|45.83760775394834|46.08695826486531|44.47268146115137|42.11450515854142|43.01295946776144|39.67123639753023|43.31960566872831|21.0|</t>
  </si>
  <si>
    <t>399.0|399.0|345.0|249.0|329.0|274.0|253.0|222.0|278.0|260.0|218.0|235.0|214.0|187.0|176.0|154.0|113.0|97.0|</t>
  </si>
  <si>
    <t>18451|3227|2879|2551|2132|1767|1416|1145|932|761|587|440|274|171|99|51|17|2|</t>
  </si>
  <si>
    <t>30.490773010253907|5.332704162597656|4.757624816894531|4.215596008300781|3.523187255859375|2.9200149536132813|2.33997802734375|1.8921432495117188|1.540155029296875|1.2575729370117188|0.9700332641601562|0.72711181640625|0.4527923583984375|0.28258209228515624|0.16360015869140626|0.08427886962890625|0.02809295654296875|0.0033050537109375|</t>
  </si>
  <si>
    <t>1194616.0|-30125.0|186955.0|203795.0|178244.0|153056.0|123018.0|99905.0|77486.0|68854.0|50037.0|36785.0|21035.0|13681.0|7219.0|3788.0|731.0|152.0|</t>
  </si>
  <si>
    <t>17.0|17.0|51.0|53.0|75.0|79.0|72.0|75.0|77.0|94.0|96.0|95.0|96.0|96.0|98.0|99.0|98.0|106.0|</t>
  </si>
  <si>
    <t>107.01929434718978|99.60799504183436|107.04098645362974|108.53194825558585|108.89540337711077|109.22071307300492|109.22033898305088|109.26550218340614|108.8744635193132|109.58869908015774|109.08006814310056|108.89772727272717|108.24087591240878|108.57894736842107|107.83838383838388|107.96078431372547|104.88235294117646|108.0|</t>
  </si>
  <si>
    <t>9.507152478676213|16.73978386124144|8.148226570743269|5.950769749403467|5.595146439018366|5.313484671635316|5.197460690106606|5.183386909828567|4.744808800057003|4.723395348307378|4.586707109440562|4.622179171046505|4.468912157909709|4.196687785105174|4.368637239164584|3.98507403584005|4.364055762586213|2.0|</t>
  </si>
  <si>
    <t>140.0|140.0|135.0|125.0|133.0|128.0|126.0|123.0|128.0|127.0|122.0|124.0|122.0|119.0|118.0|116.0|112.0|110.0|</t>
  </si>
  <si>
    <t>1974613.0|321435.0|308171.0|276865.0|232165.0|192993.0|154656.0|125109.0|101471.0|83397.0|64030.0|47915.0|29658.0|18567.0|10676.0|5506.0|1783.0|216.0|</t>
  </si>
  <si>
    <t>Wed Apr 02 16:50:32 CDT 2025</t>
  </si>
  <si>
    <t>2_Flash C/A/P  5.0  Br40  3_CT</t>
  </si>
  <si>
    <t>1.0 &lt;-&gt; 117.0</t>
  </si>
  <si>
    <t>Cluster(s) of 34075.0 929.0 122.0  voxels is(are) detected. If more than one cluster the texture calculation is only performed on the largest cluster. (size ok &gt;= 64.0vx)</t>
  </si>
  <si>
    <t>z114.0 y240.0 x189.0</t>
  </si>
  <si>
    <t>z105.90027879677183 y257.3090535583272 x180.01804842259722</t>
  </si>
  <si>
    <t>z105.92176731619347 y257.24686245619864 x179.998384495881</t>
  </si>
  <si>
    <t>-1024.0|-1019.0|-1001.0|-823.0|-930.0|-1017.0|-1024.0|-851.0|-835.0|-725.0|-655.0|-640.0|-682.0|-627.0|-218.0|-177.0|59.0|63.0|79.0|</t>
  </si>
  <si>
    <t>30.383096111518316|-40.32286083903147|21.30956143816671|43.673684210526396|48.60945387792575|48.45398443788572|47.963673057517674|49.779974758098376|50.383695652173905|53.489953632148364|52.928323699421966|53.70863309352515|47.01432664756448|50.774774774774784|61.270072992700705|66.74025974025972|77.16666666666667|78.29629629629628|85.75|</t>
  </si>
  <si>
    <t>119.63755646738458|172.8700017619284|112.39325320369765|86.727430506248|85.83817674067555|103.2572310831069|108.52189506085139|103.92946041237025|106.98611020897309|103.49984271280006|105.45999189934383|102.9675928497324|113.65446715210844|103.4112479884798|69.72265219038806|58.52591891075373|9.281103861550568|9.4312907675375|5.11737237261468|</t>
  </si>
  <si>
    <t>166.0|166.0|164.0|153.0|154.0|148.0|143.0|152.0|148.0|140.0|141.0|147.0|137.0|145.0|139.0|133.0|94.0|100.0|95.0|</t>
  </si>
  <si>
    <t>34075|5411|5062|4750|4358|3727|2973|2377|1840|1294|865|556|349|222|137|77|42|27|8|</t>
  </si>
  <si>
    <t>96.33573293685913|15.297803401947021|14.311121940612793|13.429045677185059|12.320796012878418|10.536853313446045|8.405169010162354|6.720177173614502|5.201988220214844|3.6583547592163086|2.445499897003174|1.5719051361083984|0.9866814613342285|0.6276311874389648|0.38732194900512695|0.21769189834594727|0.11874103546142578|0.07633352279663086|0.022617340087890625|</t>
  </si>
  <si>
    <t>1035304.0|-218187.0|107869.0|207450.0|211840.0|180588.0|142596.0|118327.0|92706.0|69216.0|45783.0|29862.0|16408.0|11272.0|8394.0|5139.0|3241.0|2114.0|686.0|</t>
  </si>
  <si>
    <t>1.0|1.0|1.0|18.0|8.0|1.0|1.0|15.0|17.0|28.0|35.0|37.0|32.0|38.0|79.0|83.0|106.0|107.0|108.0|</t>
  </si>
  <si>
    <t>103.59075568598676|96.52855294769911|102.68273409719497|104.91810526315756|105.40890316659018|105.39602897772977|105.3471241170532|105.52797644089206|105.59402173913038|105.8948995363215|105.83815028901732|105.93345323741002|105.26647564469916|105.64414414414412|106.67883211678836|107.1948051948052|108.33333333333331|108.33333333333334|109.125|</t>
  </si>
  <si>
    <t>11.959584776555536|17.28269703524225|11.242034547470258|8.66852920138332|8.583436755963742|10.321209108113898|10.821764392409259|10.398949608104942|10.694313153522959|10.353403905946836|10.556719419510438|10.289561114608668|11.388706234654736|10.341660562328936|6.978522114231821|5.8908667169047915|0.9677334015667416|0.9026709338484374|0.5994789404140899|</t>
  </si>
  <si>
    <t>117.0|117.0|117.0|116.0|116.0|115.0|115.0|116.0|115.0|115.0|115.0|115.0|114.0|115.0|114.0|114.0|110.0|111.0|110.0|</t>
  </si>
  <si>
    <t>3529855.0|522316.0|519780.0|498361.0|459372.0|392811.0|313197.0|250840.0|194293.0|137028.0|91550.0|58899.0|36738.0|23453.0|14615.0|8254.0|4550.0|2925.0|873.0|</t>
  </si>
  <si>
    <t>Wed Apr 02 16:51:20 CDT 2025</t>
  </si>
  <si>
    <t>12_Soft Tissue_CT</t>
  </si>
  <si>
    <t>1.0 &lt;-&gt; 379.0</t>
  </si>
  <si>
    <t>Cluster(s) of 100001.0 4780.0 1.0  voxels is(are) detected. If more than one cluster the texture calculation is only performed on the largest cluster. (size ok &gt;= 64.0vx)</t>
  </si>
  <si>
    <t>z102.0 y298.0 x280.0</t>
  </si>
  <si>
    <t>z96.00141998580014 y283.82507174928253 x306.8039319606804</t>
  </si>
  <si>
    <t>z95.97831788797228 y283.90093162575283 x306.99242123574544</t>
  </si>
  <si>
    <t>-1024.0|-1024.0|-1019.0|-924.0|-747.0|-498.0|-358.0|-541.0|-813.0|-752.0|-660.0|-272.0|-166.0|-11.0|-23.0|-7.0|-8.0|-3.0|7.0|5.0|</t>
  </si>
  <si>
    <t>34.28991710082888|5.467434808975157|27.591386081246316|39.02452277114443|42.38787777592246|42.72332015810278|44.33685023160049|44.27171750663133|44.587986463620865|45.23788315430972|45.97052775873897|47.354677565849286|46.61665646050214|43.163370593293145|42.00985221674879|40.05871559633027|38.89067524115753|33.76712328767124|36.78947368421053|25.7|</t>
  </si>
  <si>
    <t>92.55412354172184|183.00450060451956|92.45060364139592|49.23404053846861|35.53500166432779|29.310488902562984|27.43410700638879|33.67631374218937|50.04231161848581|73.73922571457491|86.34754809979772|83.32394133310642|82.25383779231318|19.138832048076136|18.592397447217582|16.870914176158273|16.886064476337676|15.748033621928897|13.363654351176871|14.057382402140163|</t>
  </si>
  <si>
    <t>2783.0|2727.0|1424.0|225.0|238.0|244.0|254.0|584.0|846.0|2166.0|2668.0|2783.0|2140.0|135.0|114.0|92.0|104.0|75.0|63.0|61.0|</t>
  </si>
  <si>
    <t>100001|16490|15533|13987|11978|9867|7772|6032|4728|3817|2918|2202|1633|1163|812|545|311|146|57|10|</t>
  </si>
  <si>
    <t>93.46101760864258|15.411567687988281|14.517154693603516|13.072261810302734|11.194648742675781|9.22170639038086|7.2637176513671875|5.63751220703125|4.418792724609375|3.567371368408203|2.7271652221679688|2.0579910278320312|1.5262031555175781|1.0869407653808594|0.7588958740234375|0.5093574523925781|0.2906608581542969|0.13645172119140625|0.053272247314453125|0.00934600830078125|</t>
  </si>
  <si>
    <t>3429026.0|90158.0|428577.0|545836.0|507722.0|421551.0|344586.0|267047.0|210812.0|172673.0|134142.0|104275.0|76125.0|50199.0|34112.0|21832.0|12095.0|4930.0|2097.0|257.0|</t>
  </si>
  <si>
    <t>1.0|1.0|1.0|8.0|26.0|51.0|65.0|46.0|19.0|25.0|35.0|73.0|84.0|99.0|98.0|100.0|100.0|100.0|101.0|101.0|</t>
  </si>
  <si>
    <t>103.97891021089838|101.09872650090938|103.30831133715336|104.45599485236274|104.78502254132572|104.82071551636722|104.98571796191453|104.9799403183026|105.01269035532995|105.0746659680377|105.14016449623026|105.2833787465941|105.20208205756269|104.85898538263113|104.73522167487687|104.54862385321107|104.43086816720262|103.91780821917811|104.2105263157895|103.10000000000001|</t>
  </si>
  <si>
    <t>9.254998037085697|18.291652540257754|9.243630141419462|4.934196755448561|3.5616535405465872|2.941954685216026|2.758727663037381|3.374664065669319|5.011856470724081|7.376539864447737|8.635162362917194|8.34091857315589|8.238904949004388|1.929735992250322|1.8878900634695206|1.7074910334042135|1.712694860033376|1.5898085062383387|1.410945211430393|1.513274595042158|</t>
  </si>
  <si>
    <t>379.0|373.0|243.0|123.0|124.0|125.0|126.0|159.0|185.0|317.0|367.0|379.0|315.0|114.0|112.0|110.0|111.0|108.0|107.0|107.0|</t>
  </si>
  <si>
    <t>1.0397995E7|1667118.0|1604688.0|1461026.0|1255115.0|1034266.0|815949.0|633239.0|496500.0|401070.0|306799.0|231834.0|171795.0|121951.0|85045.0|56979.0|32478.0|15172.0|5940.0|1031.0|</t>
  </si>
  <si>
    <t>Wed Apr 02 16:52:16 CDT 2025</t>
  </si>
  <si>
    <t>2_Chest W  5.0  B20f_CT</t>
  </si>
  <si>
    <t>61.0 &lt;-&gt; 127.0</t>
  </si>
  <si>
    <t>Cluster(s) of 11437.0  voxels is(are) detected. If more than one cluster the texture calculation is only performed on the largest cluster. (size ok &gt;= 64.0vx)</t>
  </si>
  <si>
    <t>z60.0 y294.0 x305.0</t>
  </si>
  <si>
    <t>z58.45929876715922 y262.082101949812 x331.6060155635219</t>
  </si>
  <si>
    <t>z58.435055564011556 y261.7805504909517 x331.65872843990053</t>
  </si>
  <si>
    <t>-400.0|-400.0|-219.0|-59.0|-47.0|-27.0|-19.0|-18.0|-9.0|-6.0|-5.0|-7.0|-6.0|2.0|5.0|10.0|</t>
  </si>
  <si>
    <t>31.98461134912967|7.9753406878650255|34.8418079096045|40.05766312594838|39.99999999999991|37.73600000000003|35.81496461071795|34.491186839013|33.46013071895428|33.75627769571639|32.14594594594594|32.56164383561646|29.68918918918918|26.364779874213838|18.750000000000004|21.103448275862064|</t>
  </si>
  <si>
    <t>33.93340573014657|67.85418319545772|33.958417628106744|27.10595208704333|24.228655193041455|21.03868589052082|17.556758700296207|16.019182240332754|14.301242415378997|14.113947856855857|14.528578756429093|16.068051316102135|11.899552201063242|11.162843455327518|7.477851912867037|6.854874065526015|</t>
  </si>
  <si>
    <t>265.0|265.0|127.0|178.0|177.0|149.0|106.0|82.0|76.0|77.0|85.0|117.0|60.0|53.0|33.0|34.0|</t>
  </si>
  <si>
    <t>11437|1541|1416|1318|1226|1125|989|851|765|677|555|438|296|159|52|29|</t>
  </si>
  <si>
    <t>22.899828186035155|3.085480041503906|2.83519775390625|2.6389764404296874|2.4547686767578125|2.2525405883789062|1.9802334594726563|1.7039218139648438|1.5317276000976563|1.3555288696289063|1.1112533569335938|0.8769891357421875|0.59266845703125|0.31835906982421874|0.104117431640625|0.05806549072265625|</t>
  </si>
  <si>
    <t>365808.0|12290.0|49336.0|52796.0|49040.0|42453.0|35421.0|29352.0|25597.0|22853.0|17841.0|14262.0|8788.0|4192.0|975.0|612.0|</t>
  </si>
  <si>
    <t>61.0|61.0|79.0|95.0|96.0|98.0|99.0|99.0|100.0|100.0|100.0|100.0|100.0|101.0|101.0|102.0|</t>
  </si>
  <si>
    <t>103.75456850572704|101.36404931862408|104.04237288135577|104.55918057663118|104.55220228384998|104.33066666666664|104.12841253791716|103.99529964747359|103.89934640522885|103.92909896602666|103.77297297297292|103.81278538812789|103.54729729729723|103.20125786163528|102.44230769230771|102.65517241379308|</t>
  </si>
  <si>
    <t>3.4022154316127047|6.7898255911983|3.405447781925712|2.7291607867930763|2.427607502089988|2.1205852441667554|1.7825952177934385|1.6158662491441749|1.4593622356719347|1.4444907564941916|1.4871186207099736|1.6137596151516052|1.2155215733988936|1.1535009560117193|0.8415521725785026|0.7554793896623015|</t>
  </si>
  <si>
    <t>127.0|127.0|113.0|118.0|118.0|115.0|111.0|109.0|108.0|108.0|109.0|112.0|107.0|106.0|104.0|104.0|</t>
  </si>
  <si>
    <t>1186641.0|156202.0|147324.0|137809.0|128181.0|117372.0|102983.0|88500.0|79483.0|70360.0|57594.0|45470.0|30650.0|16409.0|5327.0|2977.0|</t>
  </si>
  <si>
    <t>Wed Apr 02 16:53:23 CDT 2025</t>
  </si>
  <si>
    <t>73.0 &lt;-&gt; 112.0</t>
  </si>
  <si>
    <t>Cluster(s) of 8374.0  voxels is(are) detected. If more than one cluster the texture calculation is only performed on the largest cluster. (size ok &gt;= 64.0vx)</t>
  </si>
  <si>
    <t>z101.0 y342.0 x346.0</t>
  </si>
  <si>
    <t>z98.81275376164318 y371.39001671841413 x363.15082397898254</t>
  </si>
  <si>
    <t>z98.79850341251188 y371.3969678375463 x363.1587177993341</t>
  </si>
  <si>
    <t>-278.0|-278.0|-120.0|-51.0|-38.0|-19.0|15.0|1.0|16.0|40.0|68.0|</t>
  </si>
  <si>
    <t>45.449008836876224|-1.989964580873671|47.397078353253676|58.05399408284025|59.883996613039805|61.358074222668016|62.14145141451415|62.91287128712873|62.09727626459144|57.0|68.0|</t>
  </si>
  <si>
    <t>42.54594690606739|65.36292663215765|31.5833868270851|21.39310599345739|17.06175235259334|14.473964711367286|12.684977366315035|12.629069589102883|12.290986874129365|8.147536617970887|0.0|</t>
  </si>
  <si>
    <t>116.0|111.0|114.0|112.0|116.0|113.0|112.0|99.0|88.0|79.0|68.0|</t>
  </si>
  <si>
    <t>8374|1694|1506|1352|1181|997|813|505|257|68|1|</t>
  </si>
  <si>
    <t>16.766911010742188|3.3918255615234374|3.0154010009765626|2.70705322265625|2.3646670532226564|1.9962515258789062|1.6278359985351563|1.0111404418945313|0.5145803833007813|0.136153564453125|0.00200225830078125|</t>
  </si>
  <si>
    <t>380590.0|-3371.0|71380.0|78489.0|70723.0|61174.0|50521.0|31771.0|15959.0|3876.0|68.0|</t>
  </si>
  <si>
    <t>73.0|73.0|89.0|95.0|97.0|99.0|102.0|101.0|102.0|105.0|107.0|</t>
  </si>
  <si>
    <t>105.09410078815363|100.34887839433289|105.29814077025239|106.3520710059174|106.54276037256557|106.66800401203609|106.76014760147591|106.84950495049512|106.77431906614784|106.20588235294117|107.0|</t>
  </si>
  <si>
    <t>4.265908544263123|6.546753698134017|3.1745517396602634|2.1528868401375507|1.7403637198527526|1.481111204191465|1.3010681496360295|1.2684772005800256|1.282796231117915|0.8145519073015429|0.0|</t>
  </si>
  <si>
    <t>112.0|112.0|112.0|112.0|112.0|112.0|112.0|110.0|109.0|108.0|107.0|</t>
  </si>
  <si>
    <t>880058.0|169991.0|158579.0|143788.0|125827.0|106348.0|86796.0|53959.0|27441.0|7222.0|107.0|</t>
  </si>
  <si>
    <t>Wed Apr 02 16:54:02 CDT 2025</t>
  </si>
  <si>
    <t>36.0 &lt;-&gt; 115.0</t>
  </si>
  <si>
    <t>Cluster(s) of 14538.0  voxels is(are) detected. If more than one cluster the texture calculation is only performed on the largest cluster. (size ok &gt;= 64.0vx)</t>
  </si>
  <si>
    <t>z215.0 y354.0 x327.0</t>
  </si>
  <si>
    <t>z210.25629385059844 y363.80678222589074 x313.51423854725545</t>
  </si>
  <si>
    <t>z210.2716433481885 y363.72687551965527 x313.50141089331976</t>
  </si>
  <si>
    <t>-644.0|-644.0|-323.0|-48.0|-56.0|-100.0|-103.0|-65.0|-6.0|-6.0|-4.0|-10.0|1.0|14.0|51.0|</t>
  </si>
  <si>
    <t>30.741229880313504|-31.35633575464086|46.432985006814974|48.15623383341943|44.47784997046664|41.400684931506795|39.88724279835386|40.640873015873005|41.730723606168496|42.41543026706234|41.28453608247421|38.61370716510904|34.805882352941154|35.78571428571429|51.0|</t>
  </si>
  <si>
    <t>58.39935409042837|112.87299632438574|38.55683959729143|21.703056652728662|17.741572367221742|17.733386964409796|17.770173194451466|15.202599898776782|14.801569049693997|15.011157053699577|15.347032623663468|16.516214980586938|13.500456227072494|12.70083558234638|0.0|</t>
  </si>
  <si>
    <t>144.0|135.0|144.0|123.0|108.0|89.0|92.0|91.0|93.0|79.0|79.0|94.0|70.0|84.0|51.0|</t>
  </si>
  <si>
    <t>14538|2478|2201|1933|1693|1460|1215|1008|843|674|485|321|170|56|1|</t>
  </si>
  <si>
    <t>18.013779006958007|3.0704460296630858|2.7272202224731443|2.3951461563110352|2.0977663955688475|1.8090602111816407|1.5054850387573242|1.2489949951171875|1.0445464096069337|0.8351414947509765|0.600954933166504|0.39774542999267576|0.2106439971923828|0.06938861083984375|0.0012390823364257812|</t>
  </si>
  <si>
    <t>446916.0|-77701.0|102199.0|93086.0|75301.0|60445.0|48463.0|40966.0|35179.0|28588.0|20023.0|12395.0|5917.0|2004.0|51.0|</t>
  </si>
  <si>
    <t>36.0|36.0|68.0|96.0|95.0|91.0|90.0|94.0|100.0|100.0|100.0|100.0|101.0|102.0|106.0|</t>
  </si>
  <si>
    <t>103.62133718530714|97.41848264729616|105.19354838709684|105.36782203828243|104.98700531600687|104.6828767123288|104.53991769547342|104.62400793650792|104.70937129300103|104.76706231454015|104.67422680412368|104.38006230529605|104.02941176470593|104.16071428571429|106.0|</t>
  </si>
  <si>
    <t>5.850186694335971|11.302414148090715|3.8677330116354143|2.199030794690346|1.797109005564435|1.7927120187192414|1.8016485344776971|1.550889084466703|1.5106564789431223|1.5419114035937116|1.5837628656270752|1.6572623136306357|1.3695274865194074|1.2503825945098008|0.0|</t>
  </si>
  <si>
    <t>115.0|114.0|115.0|113.0|111.0|109.0|110.0|110.0|110.0|108.0|108.0|110.0|108.0|109.0|106.0|</t>
  </si>
  <si>
    <t>1506447.0|241403.0|231531.0|203676.0|177743.0|152837.0|127016.0|105461.0|88270.0|70613.0|50767.0|33506.0|17685.0|5833.0|106.0|</t>
  </si>
  <si>
    <t>Wed Apr 02 16:54:28 CDT 2025</t>
  </si>
  <si>
    <t>20.0 &lt;-&gt; 180.0</t>
  </si>
  <si>
    <t>Cluster(s) of 82583.0  voxels is(are) detected. If more than one cluster the texture calculation is only performed on the largest cluster. (size ok &gt;= 64.0vx)</t>
  </si>
  <si>
    <t>z99.0 y271.0 x278.0</t>
  </si>
  <si>
    <t>z100.66430136953126 y285.55875906663596 x315.4260319920565</t>
  </si>
  <si>
    <t>z100.66796341695166 y285.5326667223346 x315.1269273523075</t>
  </si>
  <si>
    <t>-807.0|-807.0|-495.0|-359.0|-573.0|-560.0|-387.0|-320.0|-185.0|-26.0|6.0|13.0|16.0|-13.0|-56.0|-126.0|-145.0|-108.0|-55.0|16.0|22.0|12.0|10.0|11.0|12.0|19.0|21.0|27.0|23.0|31.0|28.0|31.0|21.0|12.0|</t>
  </si>
  <si>
    <t>60.47977186588006|-11.748955270082051|40.95782643957821|61.40648592999317|66.51815718157174|68.16257843696513|69.68372280418993|70.53215223097136|70.98061273336523|72.06160644658188|72.57490217998856|72.47385817307682|71.58973520758398|70.84308131241092|70.54200230149604|70.10548346588553|70.31299487657213|69.72329603255332|69.969798657718|70.28268765133171|69.88433575677466|69.42528735632185|68.28704422032598|66.88393608074009|66.04740200546941|65.36625514403306|64.22853688029029|63.14024390243901|62.3493013972056|60.32816537467698|60.550675675675684|59.38888888888887|54.25233644859811|42.50000000000001|</t>
  </si>
  <si>
    <t>54.110566248543094|132.39405170088824|71.66325350880354|47.18602846788851|41.79490061347872|37.42675167454734|31.651314189587744|27.876007620886373|23.626863547643108|20.142412122737827|19.10620508438547|18.772052141545036|18.757987229238935|18.916410425153238|19.683817855425023|20.97385621889583|21.050825307594348|20.211514715162618|19.12402662533756|18.018133603102232|18.436163038242547|19.44972575163922|19.064786723563337|18.370039581604736|17.711028322602928|16.465377478921603|15.582824953466586|15.070418931462383|14.713489421922999|12.594995416991887|13.040379060056074|12.65228228082113|12.670588106012401|13.746428107486167|</t>
  </si>
  <si>
    <t>790.0|790.0|651.0|449.0|253.0|147.0|181.0|201.0|200.0|189.0|135.0|139.0|136.0|122.0|123.0|130.0|130.0|125.0|131.0|126.0|122.0|121.0|122.0|115.0|117.0|118.0|112.0|107.0|103.0|108.0|101.0|102.0|91.0|61.0|</t>
  </si>
  <si>
    <t>82583|6461|6165|5828|5535|5259|4964|4572|4178|3847|3578|3328|3059|2804|2607|2389|2147|1966|1788|1652|1513|1392|1289|1189|1097|972|827|656|501|387|296|216|107|14|</t>
  </si>
  <si>
    <t>144.61255353927612|11.313971500396729|10.795640659332275|10.20551399230957|9.692436504364014|9.209128017425536|8.692548294067382|8.006110153198243|7.316169776916504|6.736549816131592|6.265499153137207|5.8277197265625|5.356669063568115|4.910134048461914|4.565163860321045|4.1834202003479|3.759649715423584|3.442697410583496|3.1309984588623045|2.892846450805664|2.649441089630127|2.437555847167969|2.2571907234191895|2.0820789527893067|1.9209761238098144|1.702086410522461|1.448174343109131|1.1487332153320313|0.8773099708557129|0.6776825523376465|0.5183308410644532|0.3782414245605469|0.18736959457397462|0.024515647888183594|</t>
  </si>
  <si>
    <t>4994601.0|-75910.0|252505.0|357877.0|368178.0|358467.0|345910.0|322473.0|296557.0|277221.0|259673.0|241193.0|218993.0|198644.0|183903.0|167482.0|150962.0|137076.0|125106.0|116107.0|105735.0|96640.0|88022.0|79525.0|72454.0|63536.0|53117.0|41420.0|31237.0|23347.0|17923.0|12828.0|5805.0|595.0|</t>
  </si>
  <si>
    <t>20.0|20.0|51.0|65.0|43.0|45.0|62.0|69.0|82.0|98.0|101.0|102.0|102.0|99.0|95.0|88.0|86.0|90.0|95.0|102.0|103.0|102.0|102.0|102.0|102.0|102.0|103.0|103.0|103.0|104.0|103.0|104.0|103.0|102.0|</t>
  </si>
  <si>
    <t>106.60017194822186|99.37362637362617|104.65336577453338|106.69354838709674|107.19855465221325|107.36584902072646|107.52014504431921|107.60258092738388|107.64672091910012|107.76215232648835|107.8144214645053|107.80228365384612|107.7074207257273|107.6340941512127|107.60682777138494|107.56592716617861|107.57475547275243|107.5244150559512|107.5514541387024|107.58535108958829|107.55320555188355|107.51077586206893|107.37703646237388|107.2321278385198|107.16408386508658|107.08333333333339|106.98911729141473|106.86585365853648|106.76447105788425|106.59431524547799|106.60472972972973|106.5092592592593|105.97196261682241|104.85714285714286|</t>
  </si>
  <si>
    <t>5.41968032599375|13.241474442097548|7.174572594634551|4.729408958564457|4.199040378117158|3.7531277818400186|3.176927089561046|2.807582905767794|2.3840542599443966|2.034110558746318|1.9305128282106343|1.9007765559618925|1.897258181490617|1.913479905615797|1.9909652536454148|2.1203696724029584|2.11882151980784|2.0435652025784248|1.9320484167292005|1.8151510413423468|1.8617034735902207|1.9637224141607053|1.9402958751778503|1.8646218737817806|1.7878514639481862|1.6580797312137123|1.5923418813234205|1.530281299837701|1.4953070865526248|1.2913021426520237|1.3365361876911666|1.2909612437190456|1.3216949181056985|1.3014905113063255|</t>
  </si>
  <si>
    <t>180.0|180.0|166.0|145.0|126.0|115.0|119.0|121.0|121.0|119.0|114.0|114.0|114.0|113.0|113.0|114.0|114.0|113.0|114.0|113.0|113.0|113.0|113.0|112.0|112.0|112.0|112.0|111.0|111.0|111.0|111.0|111.0|110.0|107.0|</t>
  </si>
  <si>
    <t>8803362.0|642053.0|645188.0|621810.0|593344.0|564637.0|533730.0|491959.0|449748.0|414561.0|385760.0|358766.0|329477.0|301806.0|280531.0|256975.0|230963.0|211393.0|192302.0|177731.0|162728.0|149655.0|138409.0|127499.0|117559.0|104085.0|88480.0|70104.0|53489.0|41252.0|31555.0|23006.0|11339.0|1468.0|</t>
  </si>
  <si>
    <t>Wed Apr 02 16:54:54 CDT 2025</t>
  </si>
  <si>
    <t>7_PE Chest  1.5_CT</t>
  </si>
  <si>
    <t>22.0 &lt;-&gt; 154.0</t>
  </si>
  <si>
    <t>Cluster(s) of 4818.0 24497.0  voxels is(are) detected. If more than one cluster the texture calculation is only performed on the largest cluster. (size ok &gt;= 64.0vx)</t>
  </si>
  <si>
    <t>z213.0 y214.0 x166.0</t>
  </si>
  <si>
    <t>z210.23774339715067 y238.6665714169082 x150.75001020533125</t>
  </si>
  <si>
    <t>z210.23537576663358 y238.54055290461775 x150.62919260002485</t>
  </si>
  <si>
    <t>-784.0|-784.0|-316.0|-66.0|-46.0|-57.0|-53.0|-46.0|-44.0|-55.0|-40.0|-35.0|-37.0|-32.0|-28.0|</t>
  </si>
  <si>
    <t>7.850308201004181|-40.4795503468069|20.622920021470737|22.52349791790603|18.908967851099845|16.36548856548859|15.152923538230885|14.047475961538455|13.77538461538463|13.18375241779497|14.849933598937582|16.70912547528518|14.583798882681569|15.843434343434344|5.558823529411765|</t>
  </si>
  <si>
    <t>63.40984102596667|134.06218191689706|37.55677470875885|22.44214349785362|20.315102467739848|18.668458012203477|17.45689637602026|17.800295235083976|17.388378353807116|16.957937696243896|17.393654965628127|17.15521272295414|16.575625407070753|15.155114892246916|14.677295744810175|</t>
  </si>
  <si>
    <t>530.0|530.0|311.0|111.0|104.0|78.0|73.0|67.0|62.0|64.0|67.0|59.0|60.0|60.0|28.0|</t>
  </si>
  <si>
    <t>24497|4181|3726|3362|2955|2405|2001|1664|1300|1034|753|526|358|198|34|</t>
  </si>
  <si>
    <t>19.18967800140381|3.275178337097168|2.9187549591064452|2.633616256713867|2.314793586730957|1.8839521408081055|1.5674795150756835|1.3034912109375|1.0183525085449219|0.8099819183349609|0.5898611068725585|0.41204109191894533|0.2804386138916016|0.15510292053222657|0.026633834838867186|</t>
  </si>
  <si>
    <t>192309.0|-169245.0|76841.0|75724.0|55876.0|39359.0|30321.0|23375.0|17908.0|13632.0|11182.0|8789.0|5221.0|3137.0|189.0|</t>
  </si>
  <si>
    <t>22.0|22.0|69.0|94.0|96.0|95.0|95.0|96.0|96.0|95.0|97.0|97.0|97.0|97.0|98.0|</t>
  </si>
  <si>
    <t>101.33371433236732|96.49988041138486|102.61621041331172|102.80041641879832|102.43451776649748|102.18419958419959|102.06496751624188|101.95252403846159|101.92846153846158|101.85783365570605|102.04382470119519|102.22243346007593|102.01117318435752|102.14646464646464|100.99999999999999|</t>
  </si>
  <si>
    <t>6.347089135023486|13.406681819962706|3.7669345981914693|2.266789392820171|2.0580475681654087|1.8863112959637671|1.76924051656115|1.8036503782391338|1.7568211946749672|1.7231222918521305|1.7596456938663285|1.7435242952152636|1.6796143040087044|1.5549733266940395|1.4142135623730936|</t>
  </si>
  <si>
    <t>154.0|154.0|132.0|112.0|111.0|108.0|108.0|107.0|107.0|107.0|107.0|106.0|107.0|107.0|103.0|</t>
  </si>
  <si>
    <t>2482372.0|403466.0|382348.0|345615.0|302694.0|245753.0|204232.0|169649.0|132507.0|105321.0|76839.0|53769.0|36520.0|20225.0|3434.0|</t>
  </si>
  <si>
    <t>Wed Apr 02 16:55:26 CDT 2025</t>
  </si>
  <si>
    <t>6_Flash PE_CT</t>
  </si>
  <si>
    <t>40.0 &lt;-&gt; 118.0</t>
  </si>
  <si>
    <t>Cluster(s) of 1.0 24461.0 1.0  voxels is(are) detected. If more than one cluster the texture calculation is only performed on the largest cluster. (size ok &gt;= 64.0vx)</t>
  </si>
  <si>
    <t>z156.0 y366.0 x167.0</t>
  </si>
  <si>
    <t>z158.5632639712195 y362.719798863497 x142.0929234291321</t>
  </si>
  <si>
    <t>z158.59706077108825 y362.9112412901503 x142.43724306666505</t>
  </si>
  <si>
    <t>-609.0|-609.0|-281.0|-188.0|-174.0|-108.0|-77.0|-91.0|-69.0|-65.0|-61.0|-55.0|-45.0|</t>
  </si>
  <si>
    <t>5.792281591104194|-54.87139107611544|11.355566335192837|24.294470171615423|24.10248249522595|23.43194815097216|20.873106060606112|20.03628792385489|16.47269890795632|14.537804878048767|22.571875000000002|13.823529411764705|-5.846153846153848|</t>
  </si>
  <si>
    <t>62.83015950424392|101.97694185742834|49.046995287441575|35.76817316158235|35.71432109038809|35.51493434420912|32.42022546405664|30.10177843752937|28.60770142292833|28.68367913709774|31.221103984074215|28.875463416943685|33.486727919364746|</t>
  </si>
  <si>
    <t>175.0|169.0|165.0|155.0|175.0|172.0|154.0|136.0|128.0|95.0|106.0|77.0|54.0|</t>
  </si>
  <si>
    <t>24461|4572|4123|3671|3142|2623|2112|1681|1282|820|320|102|13|</t>
  </si>
  <si>
    <t>16.180181121826173|3.0242340087890627|2.727234649658203|2.4282508850097657|2.0783340454101564|1.7350318908691407|1.397021484375|1.1119285583496095|0.8480026245117187|0.5424041748046875|0.211669921875|0.06746978759765625|0.008599090576171874|</t>
  </si>
  <si>
    <t>141685.0|-250872.0|46819.0|89185.0|75730.0|61462.0|44084.0|33681.0|21118.0|11921.0|7223.0|1410.0|-76.0|</t>
  </si>
  <si>
    <t>40.0|40.0|72.0|82.0|83.0|90.0|93.0|91.0|94.0|94.0|94.0|95.0|96.0|</t>
  </si>
  <si>
    <t>101.13261927149348|95.06102362204723|101.69148678146985|102.982838463634|102.95862507956728|102.89744567289347|102.65388257575766|102.55443188578231|102.20514820592818|102.01097560975596|102.78437499999998|101.97058823529414|99.92307692307693|</t>
  </si>
  <si>
    <t>6.289266603963808|10.195507631064027|4.916907703973952|3.588394943198975|3.581044109321157|3.563990109387589|3.252329305352392|3.027856931581586|2.8590178132271498|2.907706585054786|3.1484727820603737|2.908594035238053|3.3157326249618913|</t>
  </si>
  <si>
    <t>118.0|117.0|117.0|116.0|118.0|118.0|116.0|114.0|113.0|110.0|111.0|108.0|106.0|</t>
  </si>
  <si>
    <t>2473805.0|434619.0|419274.0|378050.0|323496.0|269900.0|216805.0|172394.0|131027.0|83649.0|32891.0|10401.0|1299.0|</t>
  </si>
  <si>
    <t>Wed Apr 02 16:55:56 CDT 2025</t>
  </si>
  <si>
    <t>48.0 &lt;-&gt; 116.0</t>
  </si>
  <si>
    <t>Cluster(s) of 23642.0  voxels is(are) detected. If more than one cluster the texture calculation is only performed on the largest cluster. (size ok &gt;= 64.0vx)</t>
  </si>
  <si>
    <t>z96.0 y269.0 x163.0</t>
  </si>
  <si>
    <t>z103.08582184248371 y291.5493190085441 x180.20873868539041</t>
  </si>
  <si>
    <t>z103.06768121280066 y291.4635386987941 x180.28918158948457</t>
  </si>
  <si>
    <t>-522.0|-522.0|-208.0|-243.0|-299.0|-214.0|-213.0|-261.0|-238.0|-176.0|-19.0|15.0|23.0|28.0|18.0|24.0|22.0|27.0|24.0|21.0|31.0|43.0|</t>
  </si>
  <si>
    <t>52.304077489214|13.833617456529174|56.22258892555924|61.457667731629385|60.85068675232612|59.71097683786503|58.269002375296914|56.60687285223367|56.627182991647736|55.59280936454846|56.27272727272719|56.80381760339338|56.58454106280193|56.398907103825124|54.898550724637644|55.65488565488562|54.88034188034191|54.29501915708812|51.73295454545455|50.512195121951194|46.70370370370371|47.0|</t>
  </si>
  <si>
    <t>38.906685582541925|80.22123943933646|36.99943947742495|27.234512209022572|24.59079980976218|22.92149240452774|23.247495483882833|25.801530779482597|21.98884833069538|19.809221741918947|14.531005114259276|12.759572384713781|12.045158694586899|11.340213223923437|11.390493019748273|12.02290874781286|11.97111604055099|11.144863518861008|9.838020190600403|12.707059591979668|8.640193819906|3.265986323710904|</t>
  </si>
  <si>
    <t>159.0|159.0|151.0|139.0|144.0|130.0|108.0|107.0|109.0|107.0|96.0|97.0|95.0|94.0|102.0|102.0|90.0|101.0|81.0|86.0|61.0|51.0|</t>
  </si>
  <si>
    <t>23642|2933|2727|2504|2257|1986|1684|1455|1317|1196|1078|943|828|732|621|481|351|261|176|82|27|3|</t>
  </si>
  <si>
    <t>73.59986633300781|9.130716857910157|8.48941864013672|7.79519775390625|7.0262625122070315|6.182612915039062|5.242457275390625|4.529557800292968|4.099950256347657|3.723265380859375|3.3559197998046875|2.9356515502929685|2.577645263671875|2.278787841796875|1.9332339477539062|1.4974002075195312|1.0926974487304688|0.8125186157226563|0.5479052734375|0.2552740478515625|0.08405364990234375|0.00933929443359375|</t>
  </si>
  <si>
    <t>1236573.0|40574.0|153319.0|153890.0|137340.0|118586.0|98125.0|82363.0|74578.0|66489.0|60662.0|53566.0|46852.0|41284.0|34092.0|26770.0|19263.0|14171.0|9105.0|4142.0|1261.0|141.0|</t>
  </si>
  <si>
    <t>48.0|48.0|80.0|76.0|71.0|79.0|79.0|74.0|77.0|83.0|99.0|102.0|103.0|103.0|102.0|103.0|103.0|103.0|103.0|103.0|104.0|105.0|</t>
  </si>
  <si>
    <t>105.78051772269718|101.93862938970342|106.17491749174918|106.68610223642158|106.6353566681435|106.52366565961745|106.36995249406175|106.21786941580777|106.20804859529234|106.11287625418063|106.17161410018548|106.2417815482502|106.20531400966176|106.19672131147539|106.03703703703718|106.12266112266106|106.04273504273509|105.97318007662834|105.70454545454542|105.54878048780488|105.22222222222221|105.33333333333333|</t>
  </si>
  <si>
    <t>3.9025765180878937|8.024743385707723|3.715277548100409|2.74787722003455|2.481914961811057|2.319125320625932|2.353109783021148|2.5923407399794853|2.222784391636029|2.0016217725816543|1.4762345518902156|1.3191122239536057|1.247749964480743|1.155689259923319|1.2132840597231684|1.2367913298879707|1.2175812911066441|1.1692291407865127|1.0242413035676154|1.2797907510403965|0.8314794192830958|0.47140452079103334|</t>
  </si>
  <si>
    <t>116.0|116.0|116.0|114.0|115.0|114.0|111.0|111.0|111.0|111.0|110.0|110.0|110.0|110.0|111.0|111.0|110.0|111.0|109.0|109.0|107.0|106.0|</t>
  </si>
  <si>
    <t>2500863.0|298986.0|289539.0|267142.0|240676.0|211556.0|179127.0|154547.0|139876.0|126911.0|114453.0|100186.0|87938.0|77736.0|65849.0|51045.0|37221.0|27659.0|18604.0|8655.0|2841.0|316.0|</t>
  </si>
  <si>
    <t>Wed Apr 02 16:56:24 CDT 2025</t>
  </si>
  <si>
    <t>45.0 &lt;-&gt; 119.0</t>
  </si>
  <si>
    <t>Cluster(s) of 5579.0  voxels is(are) detected. If more than one cluster the texture calculation is only performed on the largest cluster. (size ok &gt;= 64.0vx)</t>
  </si>
  <si>
    <t>z84.0 y315.0 x209.0</t>
  </si>
  <si>
    <t>z85.80569994622692 y313.0155941925076 x220.90410467825774</t>
  </si>
  <si>
    <t>z85.96000694364992 y309.8108881164955 x223.04324789224717</t>
  </si>
  <si>
    <t>-558.0|-558.0|-163.0|-221.0|-262.0|-304.0|-218.0|-143.0|-98.0|-26.0|-53.0|-36.0|52.0|70.0|</t>
  </si>
  <si>
    <t>45.43269403118843|-12.760330578512397|45.03926096997692|57.28192161820476|58.7663817663817|60.00337268128165|62.201629327902246|61.81658291457287|62.70031545741328|65.24561403508773|65.82706766917296|63.30666666666665|73.79999999999998|82.5|</t>
  </si>
  <si>
    <t>57.69855324471491|97.12916549612358|44.45900965392329|36.330171060753216|36.14574972373268|33.21258607747757|26.504237784988522|28.161130530318513|21.475136380249808|14.630574453297704|20.446707284300253|22.361856412700224|11.490285752176343|12.5|</t>
  </si>
  <si>
    <t>184.0|184.0|145.0|123.0|140.0|128.0|143.0|137.0|108.0|96.0|101.0|92.0|95.0|95.0|</t>
  </si>
  <si>
    <t>5579|968|866|791|702|593|491|398|317|228|133|75|15|2|</t>
  </si>
  <si>
    <t>11.170599060058594|1.93818603515625|1.7339556884765626|1.5837863159179688|1.4055853271484375|1.1873391723632813|0.9831088256835937|0.7968988037109375|0.6347158813476562|0.456514892578125|0.2663003540039062|0.15016937255859375|0.03003387451171875|0.0040045166015625|</t>
  </si>
  <si>
    <t>253469.0|-12352.0|39004.0|45310.0|41254.0|35582.0|30541.0|24603.0|19876.0|14876.0|8755.0|4748.0|1107.0|165.0|</t>
  </si>
  <si>
    <t>45.0|45.0|84.0|78.0|74.0|70.0|79.0|86.0|91.0|98.0|95.0|97.0|106.0|108.0|</t>
  </si>
  <si>
    <t>105.10647069367255|99.27995867768585|105.07736720554259|106.29329962073336|106.43874643874634|106.55986509274872|106.79429735234214|106.74874371859299|106.82649842271292|107.06140350877193|107.12030075187974|106.93333333333335|108.00000000000001|109.0|</t>
  </si>
  <si>
    <t>5.776483721829126|9.710112901520558|4.459959972120815|3.641305820147568|3.622277167180562|3.3270633302336137|2.6585082384953735|2.8438748302092565|2.1719878618628385|1.4825599465368693|2.120567359124888|2.293953404544702|1.0954451150103337|1.0|</t>
  </si>
  <si>
    <t>119.0|119.0|115.0|113.0|115.0|113.0|115.0|114.0|111.0|110.0|111.0|110.0|110.0|110.0|</t>
  </si>
  <si>
    <t>586389.0|96103.0|90997.0|84078.0|74720.0|63190.0|52436.0|42486.0|33864.0|24410.0|14247.0|8020.0|1620.0|218.0|</t>
  </si>
  <si>
    <t>Wed Apr 02 16:56:49 CDT 2025</t>
  </si>
  <si>
    <t>2_C/A/P_CT</t>
  </si>
  <si>
    <t>49.0 &lt;-&gt; 106.0</t>
  </si>
  <si>
    <t>Cluster(s) of 314.0  voxels is(are) detected. If more than one cluster the texture calculation is only performed on the largest cluster. (size ok &gt;= 64.0vx)</t>
  </si>
  <si>
    <t>z98.0 y344.0 x135.0</t>
  </si>
  <si>
    <t>z97.40764331210191 y340.54777070063693 x134.27388535031847</t>
  </si>
  <si>
    <t>z97.4547325781616 y340.578214372893 x134.32900769905726</t>
  </si>
  <si>
    <t>-514.0|-514.0|-432.0|-50.0|-61.0|-12.0|</t>
  </si>
  <si>
    <t>-31.270700636942667|-82.73880597014923|-3.4318181818181808|16.821428571428566|15.800000000000002|25.666666666666664|</t>
  </si>
  <si>
    <t>89.04997506313396|105.0549912220445|59.53929097177331|25.78697563199101|25.525673350570006|24.997777679003566|</t>
  </si>
  <si>
    <t>53.0|40.0|51.0|51.0|53.0|50.0|</t>
  </si>
  <si>
    <t>314|134|88|56|30|6|</t>
  </si>
  <si>
    <t>0.8022724914550782|0.3423710632324219|0.2248406982421875|0.1430804443359375|0.07665023803710938|0.015330047607421874|</t>
  </si>
  <si>
    <t>-9819.0|-11087.0|-302.0|942.0|474.0|154.0|</t>
  </si>
  <si>
    <t>49.0|49.0|57.0|96.0|94.0|99.0|</t>
  </si>
  <si>
    <t>97.39808917197448|92.24626865671644|100.15909090909093|102.24999999999999|102.13333333333331|103.0|</t>
  </si>
  <si>
    <t>8.929525713595055|10.531712286661541|5.992203957181599|2.5582499598637445|2.5914388967435737|2.581988897471613|</t>
  </si>
  <si>
    <t>106.0|105.0|106.0|106.0|106.0|106.0|</t>
  </si>
  <si>
    <t>30583.0|12361.0|8814.0|5726.0|3064.0|618.0|</t>
  </si>
  <si>
    <t>Wed Apr 02 16:57:14 CDT 2025</t>
  </si>
  <si>
    <t>11.0 &lt;-&gt; 162.0</t>
  </si>
  <si>
    <t>Cluster(s) of 17502.0 294.0 1210.0  voxels is(are) detected. If more than one cluster the texture calculation is only performed on the largest cluster. (size ok &gt;= 64.0vx)</t>
  </si>
  <si>
    <t>z101.0 y366.0 x187.0</t>
  </si>
  <si>
    <t>z97.73648725859901 y351.6967203748143 x177.17740829619473</t>
  </si>
  <si>
    <t>z97.75368492254943 y351.6068784459329 x177.55949819112024</t>
  </si>
  <si>
    <t>-900.0|-900.0|-538.0|-478.0|-500.0|-345.0|-342.0|-431.0|-434.0|-371.0|41.0|</t>
  </si>
  <si>
    <t>0.26494114958290643|-47.961648666519764|4.940271725198667|20.530192854884625|21.262761506276185|24.02725620835858|26.11378977820638|25.148362235067435|25.121212121212118|20.885714285714286|48.666666666666664|</t>
  </si>
  <si>
    <t>92.75306639682381|132.02172305980545|73.25016407923212|65.74803614964279|63.476628934009774|56.86868300644137|53.76102136611648|60.31854388360783|77.53470403159281|86.95130703973557|6.548960901462833|</t>
  </si>
  <si>
    <t>612.0|612.0|252.0|165.0|140.0|149.0|145.0|136.0|99.0|99.0|57.0|</t>
  </si>
  <si>
    <t>17502|4537|3901|3163|2390|1651|1037|519|231|70|3|</t>
  </si>
  <si>
    <t>52.61369167327881|13.638916645050049|11.727003269195556|9.50846227645874|7.184705924987793|4.963158779144287|3.117380771636963|1.560193462371826|0.6944213676452636|0.21043071746826172|0.00901845932006836|</t>
  </si>
  <si>
    <t>4637.0|-217602.0|19272.0|64937.0|50818.0|39669.0|27080.0|13052.0|5803.0|1462.0|146.0|</t>
  </si>
  <si>
    <t>11.0|11.0|47.0|53.0|51.0|66.0|66.0|57.0|57.0|63.0|105.0|</t>
  </si>
  <si>
    <t>100.57787681407892|95.75071633237835|101.0458856703409|102.60733480872588|102.67531380753137|102.96365838885534|103.16682738669238|103.05587668593459|103.06926406926408|102.62857142857142|105.33333333333333|</t>
  </si>
  <si>
    <t>9.285333809076139|13.212001711996722|7.33112509415292|6.588062231682612|6.357680543167658|5.70715913185785|5.39099385248701|6.041503783775968|7.743421107887453|8.709881791179862|0.47140452079103085|</t>
  </si>
  <si>
    <t>162.0|162.0|126.0|117.0|115.0|115.0|115.0|114.0|110.0|110.0|106.0|</t>
  </si>
  <si>
    <t>1760314.0|434421.0|394180.0|324547.0|245394.0|169993.0|106984.0|53486.0|23809.0|7184.0|316.0|</t>
  </si>
  <si>
    <t>Wed Apr 02 16:57:50 CDT 2025</t>
  </si>
  <si>
    <t>37.0 &lt;-&gt; 116.0</t>
  </si>
  <si>
    <t>Cluster(s) of 14591.0 1.0 4.0 2.0 2.0 1.0  voxels is(are) detected. If more than one cluster the texture calculation is only performed on the largest cluster. (size ok &gt;= 64.0vx)</t>
  </si>
  <si>
    <t>z89.0 y354.0 x341.0</t>
  </si>
  <si>
    <t>z86.31827839078885 y348.2443286957714 x355.0897813720787</t>
  </si>
  <si>
    <t>z86.32818735850248 y348.1589770186479 x355.12279534460004</t>
  </si>
  <si>
    <t>-631.0|-631.0|-502.0|-181.0|-184.0|-180.0|-45.0|0.0|4.0|-101.0|-159.0|-128.0|-38.0|4.0|12.0|22.0|20.0|45.0|50.0|64.0|</t>
  </si>
  <si>
    <t>52.852374751559324|-31.06943740496701|52.47957470621155|72.5233354075918|74.60654596100267|73.36492890995271|69.7210574293527|66.62920168067228|64.44143033292237|62.079207920792065|60.76499189627229|61.21875000000001|61.66369710467702|62.09045226130654|64.22424242424238|64.81322957198445|66.77419354838713|69.5416666666667|72.01333333333332|73.54545454545455|</t>
  </si>
  <si>
    <t>60.95972666142837|112.43387533973272|55.73970204576274|34.700719511451865|29.959800114295746|25.687104399287723|22.8378343106622|21.653451512123805|22.088879090131837|23.399112773362397|25.223439866105227|23.73426699284181|18.44755512575064|16.75696388039692|16.492367937432594|15.318033803617725|12.543797706786231|12.138709317258105|10.322135868553993|6.300990345877621|</t>
  </si>
  <si>
    <t>150.0|134.0|139.0|146.0|150.0|146.0|146.0|134.0|121.0|119.0|111.0|113.0|110.0|103.0|102.0|102.0|101.0|97.0|94.0|83.0|</t>
  </si>
  <si>
    <t>14591|1973|1787|1607|1436|1266|1097|952|811|707|617|512|449|398|330|257|186|120|75|11|</t>
  </si>
  <si>
    <t>33.70339324951172|4.557384338378906|4.127747497558594|3.711969909667969|3.316981201171875|2.9243023681640623|2.533933410644531|2.19900146484375|1.8733090209960936|1.6330819702148438|1.4251931762695313|1.18265625|1.0371340942382812|0.9193304443359375|0.7622589111328125|0.5936380004882813|0.4296368408203125|0.27718505859375|0.17324066162109375|0.02540863037109375|</t>
  </si>
  <si>
    <t>771169.0|-61300.0|93781.0|116545.0|107135.0|92880.0|76484.0|63431.0|52262.0|43890.0|37492.0|31344.0|27687.0|24712.0|21194.0|16657.0|12420.0|8345.0|5401.0|809.0|</t>
  </si>
  <si>
    <t>37.0|37.0|50.0|82.0|82.0|83.0|96.0|101.0|101.0|90.0|85.0|88.0|97.0|101.0|102.0|103.0|103.0|105.0|106.0|107.0|</t>
  </si>
  <si>
    <t>105.83743403467902|97.44095286365962|105.79798545047566|107.80522713130061|108.01114206128139|107.87835703001578|107.54056517775754|107.21323529411767|107.00493218249069|106.75247524752471|106.62398703403565|106.64648437500009|106.72828507795097|106.75879396984925|107.00909090909089|107.05058365758748|107.241935483871|107.54166666666671|107.76000000000002|107.9090909090909|</t>
  </si>
  <si>
    <t>6.1052181629403695|11.24830045187086|5.592888238781018|3.4822008157958124|3.001835757624297|2.5812648268507528|2.3129071569110273|2.187558699163005|2.2202909883802717|2.3701596005908017|2.5253223206495123|2.4032097968926647|1.8512926799623053|1.704888199156155|1.6832262737686918|1.551129138682244|1.2912295199758321|1.270799179868928|1.0177098473206052|0.7925270806437591|</t>
  </si>
  <si>
    <t>116.0|114.0|114.0|115.0|116.0|115.0|115.0|114.0|113.0|112.0|112.0|112.0|112.0|111.0|111.0|111.0|111.0|110.0|110.0|109.0|</t>
  </si>
  <si>
    <t>1544274.0|192251.0|189061.0|173243.0|155104.0|136574.0|117972.0|102067.0|86781.0|75474.0|65787.0|54603.0|47921.0|42490.0|35313.0|27512.0|19947.0|12905.0|8082.0|1187.0|</t>
  </si>
  <si>
    <t>Wed Apr 02 16:58:41 CDT 2025</t>
  </si>
  <si>
    <t>15.0 &lt;-&gt; 155.0</t>
  </si>
  <si>
    <t>Cluster(s) of 23197.0  voxels is(are) detected. If more than one cluster the texture calculation is only performed on the largest cluster. (size ok &gt;= 64.0vx)</t>
  </si>
  <si>
    <t>z132.0 y304.0 x244.0</t>
  </si>
  <si>
    <t>z129.43466827607017 y312.31784282450315 x207.469759020563</t>
  </si>
  <si>
    <t>z129.4880233601197 y312.0529576627607 x208.02291727451677</t>
  </si>
  <si>
    <t>-858.0|-858.0|-656.0|-541.0|-639.0|-595.0|-683.0|-851.0|-820.0|-784.0|-510.0|-456.0|-312.0|-426.0|-469.0|-416.0|-286.0|-269.0|50.0|</t>
  </si>
  <si>
    <t>46.827175927921864|19.738524311458686|53.45121056493028|61.7465886939571|60.912552301255175|56.69288040949286|48.50854700854698|41.41333333333334|39.4156462585034|39.32490421455928|42.50585058505842|48.44056706652124|50.66995768688297|47.72200000000001|45.290760869565204|37.07547169811323|34.216049382716015|48.58695652173912|72.4|</t>
  </si>
  <si>
    <t>85.46353734421135|119.22930844488691|68.87914339154189|60.87977889756496|65.79583841627056|72.03094218104594|88.8556337262718|100.86157362615081|97.6463250163988|93.43711078028815|81.50034215481071|66.61160403119447|58.72638342477218|68.55138741119686|80.01681020034768|90.12235897401736|96.6781423032499|81.69430720599618|22.38392280186831|</t>
  </si>
  <si>
    <t>541.0|541.0|499.0|537.0|505.0|389.0|350.0|282.0|250.0|231.0|163.0|159.0|177.0|165.0|149.0|138.0|163.0|161.0|105.0|</t>
  </si>
  <si>
    <t>23197|2941|2726|2565|2390|2149|1872|1650|1470|1305|1111|917|709|500|368|265|162|92|5|</t>
  </si>
  <si>
    <t>59.59283319473266|7.555396060943604|7.003063468933106|6.589456272125244|6.139883232116699|5.520756931304931|4.809147033691406|4.238831520080566|3.7764135360717774|3.3525303840637206|2.854146556854248|2.355762729644775|1.8214130592346192|1.284494400024414|0.9453878784179688|0.6807820320129394|0.41617618560791014|0.2363469696044922|0.01284494400024414|</t>
  </si>
  <si>
    <t>1086250.0|58051.0|145708.0|158380.0|145581.0|121833.0|90808.0|68332.0|57941.0|51319.0|47224.0|44420.0|35925.0|23861.0|16667.0|9825.0|5543.0|4470.0|362.0|</t>
  </si>
  <si>
    <t>15.0|15.0|35.0|46.0|37.0|41.0|32.0|15.0|19.0|22.0|50.0|55.0|69.0|58.0|54.0|59.0|72.0|74.0|106.0|</t>
  </si>
  <si>
    <t>105.23205586929413|102.53111186671205|105.89508437270723|106.72358674463945|106.63598326359838|106.22103303862254|105.3856837606836|104.6878787878789|104.48911564625837|104.48812260536398|104.81098109810989|105.39258451472192|105.60930888575449|105.29999999999998|105.08423913043485|104.27924528301887|103.9938271604938|105.4021739130435|108.0|</t>
  </si>
  <si>
    <t>8.551706923609293|11.925736476262447|6.891678239349987|6.094289117265006|6.586638733622136|7.209166690257431|8.901032793383123|10.091528327528373|9.776945179402796|9.343183058008991|8.147178228003291|6.678524769900992|5.877304314936602|6.86338109097841|7.988168660682645|9.004262271449214|9.708400914455762|8.217240336777484|2.0976176963403024|</t>
  </si>
  <si>
    <t>155.0|155.0|150.0|154.0|151.0|139.0|136.0|129.0|126.0|124.0|117.0|116.0|118.0|117.0|115.0|114.0|117.0|117.0|111.0|</t>
  </si>
  <si>
    <t>2441068.0|301544.0|288670.0|273746.0|254860.0|228269.0|197282.0|172735.0|153599.0|136357.0|116445.0|96645.0|74877.0|52650.0|38671.0|27634.0|16847.0|9697.0|540.0|</t>
  </si>
  <si>
    <t>Wed Apr 02 16:59:12 CDT 2025</t>
  </si>
  <si>
    <t>14_Soft Tissue_CT</t>
  </si>
  <si>
    <t>6.0 &lt;-&gt; 170.0</t>
  </si>
  <si>
    <t>Cluster(s) of 133743.0  voxels is(are) detected. If more than one cluster the texture calculation is only performed on the largest cluster. (size ok &gt;= 64.0vx)</t>
  </si>
  <si>
    <t>z42.0 y354.0 x218.0</t>
  </si>
  <si>
    <t>z45.58911494433353 y316.26934493767897 x198.62707580957508</t>
  </si>
  <si>
    <t>z45.58450783858191 y316.0742935457972 x198.74979928543087</t>
  </si>
  <si>
    <t>-948.0|-807.0|-765.0|-907.0|-948.0|-851.0|-822.0|-753.0|-618.0|-895.0|-885.0|-825.0|-834.0|-784.0|-604.0|-368.0|-33.0|-40.0|-29.0|-27.0|-31.0|-30.0|-52.0|-35.0|-26.0|-26.0|-14.0|-20.0|-14.0|-19.0|2.0|11.0|</t>
  </si>
  <si>
    <t>39.86818001689702|6.371050934880732|24.890189520624304|35.25602755453505|40.13921800947852|42.57685241886087|44.16372636121325|44.82179132040641|45.13039269911489|43.859246171967094|44.368528396611175|46.471612795176824|46.6518160672751|46.3618206260803|45.91502463054201|46.06811145510831|45.647887323943586|45.13244353182731|44.35404949381331|43.66884328358207|44.271787805718226|43.79694237553899|44.347865993575|44.320180383314536|42.644005847953224|43.44861660079053|44.33554817275748|42.55072463768118|42.588235294117624|49.851190476190496|48.85344827586206|46.081081081081074|</t>
  </si>
  <si>
    <t>50.42225742346909|108.25817348187157|71.72096372268548|59.058789774780315|51.935073186399215|45.92529281251396|41.70958708928365|34.48891213170122|36.81607531371428|47.55580603639226|44.66363378695913|35.60385592534087|32.744455985060256|31.66666193938096|27.405625569366656|23.220473881239233|21.89715121364083|21.89947902356319|21.69597197954115|21.472723051098345|21.982993453543465|22.640846379815528|23.38755349250509|21.788650396490706|21.336650489911076|22.837160447299322|24.872439325256035|20.999886978221777|25.228147159532103|29.31736034554246|22.27850917067868|18.47624973409564|</t>
  </si>
  <si>
    <t>698.0|698.0|340.0|198.0|234.0|225.0|207.0|211.0|213.0|181.0|203.0|247.0|255.0|232.0|237.0|250.0|245.0|186.0|190.0|159.0|173.0|205.0|185.0|165.0|136.0|165.0|161.0|99.0|209.0|211.0|122.0|80.0|</t>
  </si>
  <si>
    <t>133743|9306|8970|8710|8440|8165|7879|7581|7232|6792|6374|5971|5589|5207|4872|4522|4189|3896|3556|3216|2903|2551|2179|1774|1368|1012|602|345|221|168|116|37|</t>
  </si>
  <si>
    <t>253.53692100906372|17.641406181335448|17.004450187683105|16.511567573547364|15.999727935791016|15.478409786224365|14.93623891067505|14.371319606781006|13.709719482421875|12.875610443115235|12.083206855773925|11.319238803863525|10.595080501556396|9.870922199249268|9.235861907958984|8.572366081237792|7.941097194671631|7.385656402587891|6.741117599487304|6.096578796386718|5.503223957061768|4.835936725616455|4.130735446929932|3.36297599029541|2.5933208312988283|1.9184507904052734|1.1412128219604492|0.6540173149108887|0.41895022201538085|0.3184779968261719|0.21990147399902343|0.07014098739624024|</t>
  </si>
  <si>
    <t>5332090.0|59289.0|223265.0|307080.0|338775.0|347640.0|347966.0|339794.0|326383.0|297892.0|282805.0|277482.0|260737.0|241406.0|223698.0|208320.0|191219.0|175836.0|157723.0|140439.0|128521.0|111726.0|96634.0|78624.0|58337.0|43970.0|26690.0|14680.0|9412.0|8375.0|5667.0|1705.0|</t>
  </si>
  <si>
    <t>6.0|20.0|24.0|10.0|6.0|15.0|18.0|25.0|39.0|11.0|12.0|18.0|17.0|22.0|40.0|64.0|97.0|97.0|98.0|98.0|97.0|98.0|95.0|97.0|98.0|98.0|99.0|99.0|99.0|99.0|101.0|102.0|</t>
  </si>
  <si>
    <t>104.5374486889047|101.1881581775201|103.04381270903048|104.07072330654417|104.56338862559258|104.80955296999377|104.97017387993395|105.0346919931409|105.05904314159274|104.93624852767984|104.99199874490103|105.1989616479652|105.21882268742168|105.18705588630701|105.14757799671608|105.14750110570532|105.1081403676296|105.05338809034879|104.98115860517441|104.9235074626864|104.9776093696176|104.92787142297146|104.98347865993554|104.99323562570447|104.83406432748524|104.89426877470352|104.99169435215941|104.8173913043478|104.76470588235294|105.53571428571432|105.49137931034485|105.13513513513513|</t>
  </si>
  <si>
    <t>5.05001727171111|10.82425863552425|7.174864629609114|5.914434214954745|5.205175230549269|4.600418720370584|4.185385321975857|3.4605942321742624|3.697901158525923|4.760850164543609|4.47593348207117|3.575949023062919|3.286013558288727|3.1847837637435714|2.7516561448485977|2.3337521520379236|2.21153967042983|2.2065386822265354|2.1918486905762933|2.168090531649184|2.2186340623593312|2.289745718083058|2.3575920182925483|2.2048320956900844|2.147236188062214|2.305194074742204|2.5081125753507436|2.0861834316878807|2.53639990163344|2.92951494673252|2.2609720584799597|1.8477475281229423|</t>
  </si>
  <si>
    <t>170.0|170.0|135.0|120.0|124.0|123.0|121.0|122.0|122.0|119.0|121.0|125.0|126.0|124.0|124.0|126.0|125.0|119.0|120.0|116.0|118.0|121.0|119.0|117.0|114.0|117.0|117.0|110.0|121.0|122.0|113.0|109.0|</t>
  </si>
  <si>
    <t>1.3981152E7|941657.0|924303.0|906456.0|882515.0|855770.0|827060.0|796268.0|759787.0|712727.0|669219.0|628143.0|588068.0|547709.0|512279.0|475477.0|440298.0|409288.0|373313.0|337434.0|304750.0|267671.0|228759.0|186258.0|143413.0|106153.0|63205.0|36162.0|23153.0|17730.0|12237.0|3890.0|</t>
  </si>
  <si>
    <t>Wed Apr 02 16:59:40 CDT 2025</t>
  </si>
  <si>
    <t>1.0 &lt;-&gt; 171.0</t>
  </si>
  <si>
    <t>Cluster(s) of 111559.0 2.0 1.0 1.0  voxels is(are) detected. If more than one cluster the texture calculation is only performed on the largest cluster. (size ok &gt;= 64.0vx)</t>
  </si>
  <si>
    <t>z104.0 y319.0 x191.0</t>
  </si>
  <si>
    <t>z103.76216172608216 y317.5828395736785 x128.65254260077626</t>
  </si>
  <si>
    <t>z103.74096400688035 y317.52385786820116 x128.6073931341948</t>
  </si>
  <si>
    <t>-1024.0|-1024.0|-954.0|-591.0|-597.0|-753.0|-720.0|-773.0|-765.0|-538.0|-493.0|-510.0|-691.0|-698.0|-681.0|-600.0|-391.0|-401.0|-497.0|-449.0|-466.0|-242.0|-98.0|-288.0|-510.0|-445.0|-262.0|56.0|91.0|98.0|104.0|</t>
  </si>
  <si>
    <t>83.01828628797256|-47.06403257949931|44.21520618556688|87.70534231858572|100.42338156088285|103.66034000931538|105.38330559467393|106.30691663116052|107.73014093529794|108.80360393156177|109.00864731315612|109.79934441582763|108.05363276089821|106.1672619047618|108.6453804347825|111.75160923892444|113.48658843252306|110.02343376374945|106.9702315325248|105.21343085106399|105.99919678714855|114.62939958592142|116.43847241867043|114.08139534883726|104.93766233766235|103.0133333333334|108.81363636363635|115.60000000000001|113.13483146067416|114.56818181818184|115.875|</t>
  </si>
  <si>
    <t>104.08979274269537|207.3621825433671|119.8890560289685|71.64736054899429|60.968706677523706|59.22276652577038|59.42174987617869|59.03112752543141|54.601890789741546|50.31567095322571|50.26876015214059|48.5208440827694|56.78260034664398|63.68106449986663|59.21630329973085|49.44354904424233|40.73375655683228|46.75829897540077|55.44188725557759|60.960924923138954|65.82222009313712|32.7676639110912|26.98430770215114|43.64485330206104|73.60329791976179|67.48214446964633|40.22569051844792|11.68994503044453|8.694814431907236|8.891767712769564|8.099961419661208|</t>
  </si>
  <si>
    <t>700.0|700.0|430.0|340.0|283.0|427.0|502.0|266.0|227.0|217.0|239.0|233.0|223.0|185.0|188.0|208.0|188.0|183.0|181.0|201.0|200.0|205.0|192.0|199.0|185.0|162.0|149.0|152.0|134.0|136.0|129.0|</t>
  </si>
  <si>
    <t>111559|11541|10864|10239|9469|8588|7811|7041|6244|5494|4857|4271|3785|3360|2944|2641|2386|2091|1814|1504|1245|966|707|516|385|300|220|135|89|44|8|</t>
  </si>
  <si>
    <t>271.1884115409851|28.054979496002197|26.409262390136718|24.889951915740966|23.0181614112854|20.876541366577147|18.98773458480835|17.115944080352783|15.17851936340332|13.355346794128417|11.806865558624267|10.38236005783081|9.200944232940675|8.167813110351563|7.15656005859375|6.419998340606689|5.800119667053223|5.0830051231384275|4.40964672088623|3.6560687255859374|3.026466464996338|2.3482462692260744|1.7186440086364747|1.2543427276611328|0.9358952522277832|0.7292690277099609|0.5347972869873047|0.3281710624694824|0.21634981155395508|0.10695945739746093|0.019447174072265625|</t>
  </si>
  <si>
    <t>9261437.0|-543166.0|480354.0|898015.0|950909.0|890235.0|823149.0|748507.0|672667.0|597767.0|529455.0|468953.0|408983.0|356722.0|319852.0|295136.0|270779.0|230059.0|194044.0|158241.0|131969.0|110732.0|82322.0|58866.0|40401.0|30904.0|23939.0|15606.0|10069.0|5041.0|927.0|</t>
  </si>
  <si>
    <t>1.0|1.0|5.0|41.0|41.0|25.0|29.0|23.0|24.0|47.0|51.0|50.0|31.0|31.0|32.0|41.0|61.0|60.0|51.0|56.0|54.0|76.0|91.0|72.0|50.0|56.0|74.0|106.0|110.0|110.0|111.0|</t>
  </si>
  <si>
    <t>108.85163904301686|95.84351442682583|104.97174153166405|109.32005078620985|110.59615587707253|110.91080577550062|111.08385610037139|111.17824172702736|111.328155028828|111.4284674190021|111.45316038707044|111.52891594474346|111.35561426684306|111.16339285714282|111.4133831521741|111.72321090496015|111.90444258172663|111.55714968914401|111.24641675854468|111.0757978723403|111.15582329317263|112.00517598343697|112.18811881188128|111.95542635658916|111.04155844155844|110.86666666666665|111.44545454545451|112.16296296296296|111.86516853932582|111.93181818181816|111.99999999999999|</t>
  </si>
  <si>
    <t>10.41318491877363|20.736398287496524|11.993333647257185|7.173080962497186|6.102875057379628|5.9322922186060705|5.9489579258743|5.907867488164935|5.4738708778378085|5.042725853776192|5.039305952798326|4.85192054366399|5.689159619154131|6.370068057717208|5.933391390363361|4.947764524209124|4.090049509608061|4.693978998557999|5.543396585581211|6.099755785274972|6.599121901007519|3.3064611633159022|2.720340948663022|4.3730975500851965|7.353298591017674|6.766256145182673|4.072270672456842|1.1750959450656537|0.8765485332513288|0.8892726157506287|0.707106781186549|</t>
  </si>
  <si>
    <t>171.0|171.0|144.0|135.0|129.0|143.0|151.0|127.0|123.0|122.0|124.0|124.0|123.0|119.0|119.0|121.0|119.0|119.0|119.0|121.0|121.0|121.0|120.0|120.0|119.0|117.0|115.0|116.0|114.0|114.0|113.0|</t>
  </si>
  <si>
    <t>1.214338E7|1106130.0|1140413.0|1119328.0|1047235.0|952502.0|867676.0|782806.0|695133.0|612188.0|541328.0|476340.0|421481.0|373509.0|328001.0|295061.0|267004.0|233266.0|201801.0|167058.0|138389.0|108197.0|79317.0|57769.0|42751.0|33260.0|24518.0|15142.0|9956.0|4925.0|896.0|</t>
  </si>
  <si>
    <t>Wed Apr 02 17:00:24 CDT 2025</t>
  </si>
  <si>
    <t>24.0 &lt;-&gt; 115.0</t>
  </si>
  <si>
    <t>Cluster(s) of 1334.0 476.0 2075.0 1719.0 3884.0  voxels is(are) detected. If more than one cluster the texture calculation is only performed on the largest cluster. (size ok &gt;= 64.0vx)</t>
  </si>
  <si>
    <t>z287.0 y304.0 x225.0</t>
  </si>
  <si>
    <t>z287.99819773429454 y315.35066941297634 x226.3802780638517</t>
  </si>
  <si>
    <t>z287.9527535449208 y315.29680991746983 x226.36026192256566</t>
  </si>
  <si>
    <t>-770.0|-770.0|-620.0|-282.0|-91.0|-37.0|-8.0|2.0|3.0|16.0|</t>
  </si>
  <si>
    <t>-26.271884654994825|-173.68241758241754|-16.048302872062653|33.14930015552101|31.79428571428571|29.159420289855078|28.167763157894726|28.85572139303483|31.704081632653075|32.826086956521735|</t>
  </si>
  <si>
    <t>143.59866806155839|217.04621277983028|107.57128435482397|35.670334071770476|22.077343821304265|15.665392968642815|12.936388406218233|11.695731227982455|11.492863077041413|9.281361284681594|</t>
  </si>
  <si>
    <t>141.0|113.0|141.0|121.0|94.0|82.0|63.0|60.0|58.0|54.0|</t>
  </si>
  <si>
    <t>3884|910|766|643|525|414|304|201|98|23|</t>
  </si>
  <si>
    <t>7.319511077880859|1.7149214935302735|1.443549301147461|1.2117522201538087|0.989377784729004|0.7801950531005859|0.5728968505859375|0.3787903518676758|0.18468385314941407|0.04334416961669922|</t>
  </si>
  <si>
    <t>-102040.0|-158051.0|-12293.0|21315.0|16692.0|12072.0|8563.0|5800.0|3107.0|755.0|</t>
  </si>
  <si>
    <t>24.0|24.0|39.0|72.0|91.0|97.0|100.0|101.0|101.0|102.0|</t>
  </si>
  <si>
    <t>97.93460350154477|83.1956043956044|98.96344647519581|103.86314152410563|103.73714285714293|103.47826086956516|103.40131578947377|103.43781094527364|103.71428571428571|103.8695652173913|</t>
  </si>
  <si>
    <t>14.36237816707799|21.695575647045736|10.784197927357885|3.59884992302574|2.235525170763156|1.6101312304560975|1.3166937682029192|1.2206201767952236|1.1605769149479943|1.0755927719002591|</t>
  </si>
  <si>
    <t>115.0|112.0|115.0|113.0|110.0|109.0|107.0|107.0|106.0|106.0|</t>
  </si>
  <si>
    <t>380378.0|75708.0|75806.0|66784.0|54462.0|42840.0|31434.0|20791.0|10164.0|2389.0|</t>
  </si>
  <si>
    <t>Wed Apr 02 17:02:20 CDT 2025</t>
  </si>
  <si>
    <t>101.0 &lt;-&gt; 115.0</t>
  </si>
  <si>
    <t>Cluster(s) of 1997.0  voxels is(are) detected. If more than one cluster the texture calculation is only performed on the largest cluster. (size ok &gt;= 16.0vx)</t>
  </si>
  <si>
    <t>z83.0 y391.0 x395.0</t>
  </si>
  <si>
    <t>z83.0 y412.027541311968 x373.550826239359</t>
  </si>
  <si>
    <t>z83.0 y411.06044664797827 x376.3648273725021</t>
  </si>
  <si>
    <t>1.0|14.0|9.0|1.0|20.0|16.0|19.0|15.0|16.0|12.0|24.0|32.0|</t>
  </si>
  <si>
    <t>69.48773159739609|76.24427480916032|76.96399999999991|77.26033057851235|74.21794871794869|69.77477477477476|65.59047619047618|62.80999999999998|62.13978494623655|54.41836734693879|47.57812500000001|59.44827586206896|</t>
  </si>
  <si>
    <t>21.645120502654404|25.64394832202717|20.21708940475854|21.112704174895935|18.200202475555493|16.926276115775487|17.610978847404223|19.508559659800625|21.21046171056295|19.719421416662136|15.871362464652334|17.75423447673637|</t>
  </si>
  <si>
    <t>143.0|143.0|137.0|126.0|116.0|112.0|108.0|110.0|113.0|109.0|91.0|91.0|</t>
  </si>
  <si>
    <t>1997|262|250|242|234|222|210|200|186|98|64|29|</t>
  </si>
  <si>
    <t>4.351525650024414|0.5709062194824219|0.5447578430175781|0.5273255920410156|0.5098933410644532|0.48374496459960936|0.4575965881347656|0.4358062744140625|0.4052998352050781|0.21354507446289062|0.1394580078125|0.06319190979003907|</t>
  </si>
  <si>
    <t>138767.0|19976.0|19241.0|18697.0|17367.0|15490.0|13774.0|12562.0|11558.0|5333.0|3045.0|1724.0|</t>
  </si>
  <si>
    <t>101.0|102.0|101.0|101.0|103.0|102.0|102.0|102.0|102.0|102.0|103.0|104.0|</t>
  </si>
  <si>
    <t>107.492739108663|108.16030534351151|108.22399999999996|108.29338842975211|107.94871794871793|107.51801801801794|107.09523809523809|106.82|106.79569892473123|105.98979591836732|105.29687500000001|106.51724137931033|</t>
  </si>
  <si>
    <t>2.185345730652596|2.605973156034315|2.054707765109187|2.0890994357445276|1.8598141339270344|1.702446474834185|1.802240983430983|1.9461757371830561|2.177890563642522|1.9351469804388777|1.720098902498051|1.7542203230312896|</t>
  </si>
  <si>
    <t>115.0|115.0|114.0|113.0|112.0|112.0|111.0|112.0|112.0|111.0|110.0|110.0|</t>
  </si>
  <si>
    <t>214663.0|28338.0|27056.0|26207.0|25260.0|23869.0|22490.0|21364.0|19864.0|10387.0|6739.0|3089.0|</t>
  </si>
  <si>
    <t>Wed Apr 02 17:02:21 CDT 2025</t>
  </si>
  <si>
    <t>82.0 &lt;-&gt; 117.0</t>
  </si>
  <si>
    <t>Cluster(s) of 3697.0  voxels is(are) detected. If more than one cluster the texture calculation is only performed on the largest cluster. (size ok &gt;= 16.0vx)</t>
  </si>
  <si>
    <t>z84.0 y413.0 x392.0</t>
  </si>
  <si>
    <t>z84.0 y400.6091425480119 x374.37760346226673</t>
  </si>
  <si>
    <t>z84.0 y402.71610992676136 x377.18883884055975</t>
  </si>
  <si>
    <t>-183.0|-183.0|-131.0|-58.0|11.0|13.0|21.0|24.0|13.0|22.0|21.0|24.0|21.0|32.0|31.0|30.0|20.0|21.0|31.0|27.0|24.0|30.0|45.0|</t>
  </si>
  <si>
    <t>62.933189072220905|41.60000000000001|53.52464788732399|59.82909090909094|65.18421052631577|66.45882352941175|68.93032786885244|68.95319148936166|67.69196428571429|67.2843601895734|67.18499999999997|69.36507936507934|70.76436781609193|71.83647798742139|71.69285714285716|65.31451612903227|61.71962616822431|55.780219780219774|54.27631578947369|51.39999999999998|52.46808510638298|57.225806451612904|52.199999999999996|</t>
  </si>
  <si>
    <t>29.52456419970101|49.924240910688596|39.218547434908714|30.60415701250862|25.33623320658649|26.540041346884696|26.543176670499605|25.89524601949439|24.04903338714193|22.12533646501604|23.163133963261533|24.38424870243208|24.472050569641727|26.228045437463333|22.832588373566733|17.66962353117946|15.61798292080175|14.849281033250193|11.662579253649062|9.16551507917949|10.473575795792176|10.781434692426382|4.166533331199931|</t>
  </si>
  <si>
    <t>165.0|118.0|120.0|127.0|143.0|163.0|165.0|159.0|160.0|149.0|130.0|138.0|155.0|153.0|145.0|101.0|99.0|90.0|82.0|72.0|74.0|75.0|60.0|</t>
  </si>
  <si>
    <t>3697|295|284|275|266|255|244|235|224|211|200|189|174|159|140|124|107|91|76|60|47|31|10|</t>
  </si>
  <si>
    <t>8.055878982543945|0.6428142547607422|0.6188449096679688|0.5992336273193359|0.5796223449707031|0.5556529998779297|0.5316836547851562|0.5120723724365235|0.48810302734375|0.45977561950683593|0.4358062744140625|0.41183692932128907|0.37915145874023437|0.34646598815917967|0.30506439208984376|0.27019989013671875|0.23315635681152344|0.19829185485839843|0.16560638427734375|0.13074188232421874|0.10241447448730469|0.06754997253417969|0.021790313720703124|</t>
  </si>
  <si>
    <t>232664.0|12272.0|15201.0|16453.0|17339.0|16947.0|16819.0|16204.0|15163.0|14197.0|13437.0|13110.0|12313.0|11422.0|10037.0|8099.0|6604.0|5076.0|4125.0|3084.0|2466.0|1774.0|522.0|</t>
  </si>
  <si>
    <t>82.0|82.0|87.0|95.0|102.0|102.0|103.0|103.0|102.0|103.0|103.0|103.0|103.0|104.0|104.0|104.0|103.0|103.0|104.0|103.0|103.0|104.0|105.0|</t>
  </si>
  <si>
    <t>106.83770624830943|104.70508474576275|105.85915492957744|106.53090909090912|107.06015037593983|107.17647058823528|107.47131147540988|107.45531914893616|107.30803571428571|107.30805687203792|107.23999999999998|107.47619047619047|107.62643678160916|107.71698113207546|107.69285714285719|107.0967741935484|106.71028037383176|106.10989010989016|106.00000000000003|105.66666666666667|105.85106382978721|106.25806451612902|105.8|</t>
  </si>
  <si>
    <t>2.970990557521554|5.033226000873497|3.9487768641030736|3.0418219855434576|2.5406748215416406|2.6679351077811138|2.686333948583259|2.599738817539282|2.419918770510148|2.2339223398458254|2.3178438256276026|2.4550378580286165|2.462031670623442|2.6281784003462376|2.33267604930912|1.7934439514732463|1.6002882088227268|1.493212110018729|1.2030662579644735|0.9775252199076762|1.091138842975157|1.1350072313393025|0.5999999999999992|</t>
  </si>
  <si>
    <t>117.0|112.0|113.0|113.0|115.0|117.0|117.0|116.0|117.0|115.0|114.0|114.0|116.0|116.0|115.0|111.0|110.0|110.0|109.0|108.0|108.0|108.0|107.0|</t>
  </si>
  <si>
    <t>394979.0|30888.0|30064.0|29296.0|28478.0|27330.0|26223.0|25252.0|24037.0|22642.0|21448.0|20313.0|18727.0|17127.0|15077.0|13280.0|11418.0|9656.0|8056.0|6340.0|4975.0|3294.0|1058.0|</t>
  </si>
  <si>
    <t>60.0 &lt;-&gt; 134.0</t>
  </si>
  <si>
    <t>Cluster(s) of 7557.0  voxels is(are) detected. If more than one cluster the texture calculation is only performed on the largest cluster. (size ok &gt;= 16.0vx)</t>
  </si>
  <si>
    <t>z85.0 y400.0 x397.0</t>
  </si>
  <si>
    <t>z85.0 y381.2609501124785 x373.012438798465</t>
  </si>
  <si>
    <t>z85.0 y389.1400324712977 x375.3478427781355</t>
  </si>
  <si>
    <t>-407.0|-407.0|-267.0|-97.0|-53.0|-22.0|-7.0|-3.0|8.0|7.0|11.0|8.0|15.0|13.0|8.0|13.0|10.0|3.0|13.0|9.0|8.0|16.0|18.0|9.0|24.0|27.0|29.0|20.0|29.0|34.0|33.0|39.0|41.0|26.0|32.0|34.0|50.0|</t>
  </si>
  <si>
    <t>66.18155352653181|10.17494089834515|34.70792079207921|51.974747474747474|56.26753246753246|60.64438502673792|61.03314917127067|61.76080691642647|64.19519519519513|68.51874999999998|73.61639344262292|79.60273972602737|85.81625441696113|90.52189781021897|92.23954372623575|90.35714285714288|86.71604938271604|85.94759825327509|80.86697247706427|74.70048309178746|72.21875|70.08988764044943|70.56886227544908|72.0860927152318|73.20863309352518|71.39843749999999|66.34453781512603|66.13761467889908|67.5408163265306|65.68235294117648|65.39999999999999|67.15873015873014|70.57407407407408|67.07142857142854|65.34482758620689|61.5625|58.0|</t>
  </si>
  <si>
    <t>50.785627430356584|83.80227001407464|61.59098426881688|43.30126282581108|35.10590449304676|28.01058352351287|23.836204542434967|20.150524837385365|19.495923367845442|22.774704135015682|31.363449439805496|44.20879467640434|54.95531256305864|62.808606522773815|67.6302829088548|68.15941448041438|64.23046875823741|61.965174441589284|57.264441398063674|49.919424445446964|46.37206934248424|40.29864370245031|36.155267137989114|35.990237895934676|35.09667528580418|31.607539607799175|24.243663982034157|21.82981207495095|23.17905826798738|18.067983880956152|16.020819787597222|17.386554145493292|20.376640449164164|24.246151247984415|19.428517720926177|17.874453662979462|8.0|</t>
  </si>
  <si>
    <t>335.0|157.0|136.0|126.0|109.0|113.0|104.0|104.0|111.0|152.0|203.0|280.0|317.0|335.0|328.0|313.0|312.0|309.0|293.0|277.0|254.0|238.0|171.0|154.0|158.0|159.0|119.0|121.0|136.0|115.0|95.0|99.0|118.0|136.0|113.0|92.0|66.0|</t>
  </si>
  <si>
    <t>7557|423|404|396|385|374|362|347|333|320|305|292|283|274|263|252|243|229|218|207|192|178|167|151|139|128|119|109|98|85|75|63|54|42|29|16|2|</t>
  </si>
  <si>
    <t>16.46694007873535|0.9217302703857422|0.8803286743164063|0.8628964233398437|0.8389270782470704|0.8149577331542969|0.7888093566894532|0.7561238861083984|0.7256174468994141|0.6972900390625|0.6646045684814453|0.6362771606445312|0.6166658782958985|0.5970545959472656|0.5730852508544921|0.5491159057617188|0.5295046234130859|0.4989981842041016|0.47502883911132815|0.45105949401855466|0.4183740234375|0.38786758422851564|0.3638982391357422|0.3290337371826172|0.30288536071777344|0.278916015625|0.25930473327636716|0.23751441955566407|0.21354507446289062|0.18521766662597655|0.16342735290527344|0.1372789764404297|0.11766769409179688|0.09151931762695313|0.06319190979003907|0.034864501953125|0.004358062744140625|</t>
  </si>
  <si>
    <t>500134.0|4304.0|14022.0|20582.0|21663.0|22681.0|22094.0|21431.0|21377.0|21926.0|22453.0|23244.0|24286.0|24803.0|24259.0|22770.0|21072.0|19682.0|17629.0|15463.0|13866.0|12476.0|11785.0|10885.0|10176.0|9139.0|7895.0|7209.0|6619.0|5583.0|4905.0|4231.0|3811.0|2817.0|1895.0|985.0|116.0|</t>
  </si>
  <si>
    <t>60.0|60.0|74.0|91.0|95.0|98.0|100.0|100.0|101.0|101.0|102.0|101.0|102.0|102.0|101.0|102.0|102.0|101.0|102.0|101.0|101.0|102.0|102.0|101.0|103.0|103.0|103.0|103.0|103.0|104.0|104.0|104.0|105.0|103.0|104.0|104.0|106.0|</t>
  </si>
  <si>
    <t>107.1662035199152|101.59574468085115|104.01485148514854|105.71717171717172|106.15844155844157|106.63101604278069|106.6270718232045|106.72910662824208|106.93393393393393|107.40000000000005|107.91147540983599|108.5171232876712|109.17667844522973|109.60583941605842|109.7490494296578|109.61904761904763|109.2181069958848|109.15283842794764|108.60550458715593|108.00000000000003|107.78645833333336|107.561797752809|107.61676646706584|107.74172185430464|107.90647482014387|107.65625000000007|107.12605042016808|107.20183486238531|107.32653061224491|107.08235294117645|107.1066666666667|107.22222222222221|107.66666666666669|107.19047619047615|107.13793103448276|106.8125|106.5|</t>
  </si>
  <si>
    <t>5.091686140069186|8.400139639223434|6.178434005484035|4.361888211370505|3.5409790505162553|2.829882659414133|2.3870360595385955|2.034667851342691|1.9838284237439727|2.2986409027945207|3.1501287176748676|4.411579712545451|5.507196088324781|6.303582186580257|6.780490146363544|6.824741570614151|6.451924244571356|6.196086472646633|5.7677024644019985|4.99855051453687|4.644802646320281|4.0124946880983465|3.6455805858241326|3.59260383750157|3.4804533036669634|3.1485053497651854|2.4272771404982842|2.179048763569548|2.324560569419443|1.8484445906881517|1.621302631288258|1.6944769708041296|2.0548046676563256|2.4420726485634474|1.9778800551310316|1.8445443204217116|0.5|</t>
  </si>
  <si>
    <t>134.0|116.0|114.0|113.0|111.0|112.0|111.0|111.0|112.0|116.0|121.0|129.0|132.0|134.0|133.0|132.0|132.0|131.0|130.0|128.0|126.0|124.0|118.0|116.0|116.0|116.0|112.0|113.0|114.0|112.0|110.0|110.0|112.0|114.0|112.0|110.0|107.0|</t>
  </si>
  <si>
    <t>809855.0|42975.0|42022.0|41864.0|40871.0|39880.0|38599.0|37035.0|35609.0|34368.0|32913.0|31687.0|30897.0|30032.0|28864.0|27624.0|26540.0|24996.0|23676.0|22356.0|20695.0|19146.0|17972.0|16269.0|14999.0|13780.0|12748.0|11685.0|10518.0|9102.0|8033.0|6755.0|5814.0|4502.0|3107.0|1709.0|213.0|</t>
  </si>
  <si>
    <t>Wed Apr 02 17:02:22 CDT 2025</t>
  </si>
  <si>
    <t>62.0 &lt;-&gt; 140.0</t>
  </si>
  <si>
    <t>Cluster(s) of 7611.0  voxels is(are) detected. If more than one cluster the texture calculation is only performed on the largest cluster. (size ok &gt;= 16.0vx)</t>
  </si>
  <si>
    <t>z86.0 y398.0 x399.0</t>
  </si>
  <si>
    <t>z86.0 y381.45276573380636 x373.54092760478255</t>
  </si>
  <si>
    <t>z86.0 y385.076922329922 x379.3328144877232</t>
  </si>
  <si>
    <t>-390.0|-390.0|-314.0|-148.0|-12.0|28.0|23.0|11.0|18.0|21.0|19.0|21.0|6.0|11.0|16.0|6.0|11.0|25.0|21.0|26.0|22.0|31.0|33.0|37.0|35.0|36.0|45.0|46.0|46.0|49.0|62.0|58.0|42.0|77.0|117.0|161.0|</t>
  </si>
  <si>
    <t>94.70910524241181|9.075376884422107|52.02272727272726|72.45691906005214|75.78552278820364|72.41208791208788|69.04802259887006|66.68313953488378|68.11144578313257|75.12893081761001|86.93159609120517|100.50168350168342|111.03484320557496|119.59782608695654|126.89393939393933|133.1141732283465|136.64344262295063|135.64377682403432|126.14090909090912|114.84834123222748|112.4455445544554|112.9736842105263|115.3539325842697|119.69642857142857|126.42675159235668|123.6827586206896|127.20300751879697|129.4380165289256|130.05660377358498|132.67741935483872|128.01250000000002|112.06249999999997|117.67924528301886|136.92307692307696|161.26086956521743|173.25|</t>
  </si>
  <si>
    <t>74.03613015984625|94.96439082285235|53.721193724527815|31.583411019147626|22.947944461794364|18.85282696710528|18.968319083625907|22.576643506150017|29.825843715331803|38.76131256403784|49.39897938777146|67.77175621102616|86.13836312167788|96.6084724638364|97.06228534295047|101.1620219302153|106.62589686952374|101.63127482966964|92.38311120295305|78.33507887630259|67.39325630209964|64.75528299606356|62.245197560665204|63.76545180885769|64.63412005616776|62.74400132869149|61.26998791844389|60.900798969094865|60.74301422505218|60.22505485302564|49.83936540276172|31.691321268606014|39.52108278294083|42.03806859318545|26.33928689289945|10.497023387608508|</t>
  </si>
  <si>
    <t>396.0|159.0|122.0|139.0|151.0|145.0|125.0|187.0|246.0|282.0|271.0|322.0|370.0|396.0|372.0|369.0|387.0|368.0|386.0|362.0|284.0|296.0|293.0|262.0|256.0|241.0|248.0|267.0|280.0|276.0|272.0|184.0|196.0|202.0|198.0|186.0|</t>
  </si>
  <si>
    <t>7611|398|396|383|373|364|354|344|332|318|307|297|287|276|264|254|244|233|220|211|202|190|178|168|157|145|133|121|106|93|80|64|53|39|23|4|</t>
  </si>
  <si>
    <t>16.584607772827148|0.8672544860839844|0.8628964233398437|0.8345690155029297|0.8127787017822266|0.7931674194335937|0.7713771057128906|0.7495867919921875|0.7234384155273438|0.6929319763183593|0.668962631225586|0.6471723175048828|0.6253820037841797|0.6014126586914063|0.5752642822265625|0.5534739685058594|0.5316836547851562|0.5077143096923828|0.47938690185546873|0.45977561950683593|0.44016433715820313|0.4140159606933594|0.38786758422851564|0.3660772705078125|0.34210792541503904|0.3159595489501953|0.28981117248535154|0.2636627960205078|0.23097732543945312|0.20264991760253906|0.174322509765625|0.1394580078125|0.11548866271972656|0.0849822235107422|0.050117721557617186|0.00871612548828125|</t>
  </si>
  <si>
    <t>720831.0|3612.0|20601.0|27751.0|28268.0|26358.0|24443.0|22939.0|22613.0|23891.0|26688.0|29849.0|31867.0|33009.0|33500.0|33811.0|33341.0|31605.0|27751.0|24233.0|22714.0|21465.0|20533.0|20109.0|19849.0|17934.0|16918.0|15662.0|13786.0|12339.0|10241.0|7172.0|6237.0|5340.0|3709.0|693.0|</t>
  </si>
  <si>
    <t>62.0|62.0|69.0|86.0|99.0|103.0|103.0|102.0|102.0|103.0|102.0|103.0|101.0|102.0|102.0|101.0|102.0|103.0|103.0|103.0|103.0|104.0|104.0|104.0|104.0|104.0|105.0|105.0|105.0|105.0|107.0|106.0|105.0|108.0|112.0|117.0|</t>
  </si>
  <si>
    <t>110.01997109446853|101.46984924623115|105.71969696969693|107.78851174934721|108.14209115281498|107.81043956043948|107.4661016949153|107.23255813953489|107.34939759036149|108.04716981132071|109.24104234527695|110.59259259259261|111.66550522648086|112.51811594202891|113.23106060606057|113.86614173228344|114.16803278688526|114.13733905579402|113.15000000000002|112.02369668246448|111.78217821782182|111.8631578947368|112.0842696629213|112.51190476190476|113.19108280254777|112.93793103448277|113.2781954887218|113.47107438016526|113.55660377358494|113.82795698924734|113.33750000000002|111.78125000000001|112.30188679245282|114.23076923076923|116.69565217391305|118.0|</t>
  </si>
  <si>
    <t>7.405117105588285|9.476914318616528|5.370111439986107|3.1523001058645685|2.315276906814828|1.9214808918580562|1.907532807945104|2.256383289458016|2.9795840857155924|3.8965766513819453|4.9512814997799826|6.78771511213065|8.603112738222029|9.667836527217043|9.723235467992321|10.120037195104857|10.657120811876206|10.172251482121016|9.20623553507474|7.843517417680549|6.739280392286865|6.464657806413003|6.210599834903576|6.4021834958660175|6.462171903200932|6.308418775217735|6.125692697928403|6.128209235370808|6.089087344755478|6.031500920416805|4.977307881777055|3.1940802177622283|3.979119584333867|4.281513861561767|2.6446793609992247|1.0|</t>
  </si>
  <si>
    <t>140.0|116.0|113.0|114.0|116.0|115.0|113.0|119.0|125.0|129.0|128.0|133.0|138.0|140.0|138.0|137.0|139.0|137.0|139.0|137.0|129.0|130.0|130.0|127.0|126.0|125.0|125.0|127.0|129.0|128.0|128.0|119.0|120.0|121.0|120.0|119.0|</t>
  </si>
  <si>
    <t>837362.0|40385.0|41865.0|41283.0|40337.0|39243.0|38043.0|36888.0|35640.0|34359.0|33537.0|32846.0|32048.0|31055.0|29893.0|28922.0|27857.0|26594.0|24893.0|23637.0|22580.0|21254.0|19951.0|18902.0|17771.0|16376.0|15066.0|13730.0|12037.0|10586.0|9067.0|7154.0|5952.0|4455.0|2684.0|472.0|</t>
  </si>
  <si>
    <t>57.0 &lt;-&gt; 146.0</t>
  </si>
  <si>
    <t>Cluster(s) of 8398.0  voxels is(are) detected. If more than one cluster the texture calculation is only performed on the largest cluster. (size ok &gt;= 16.0vx)</t>
  </si>
  <si>
    <t>z87.0 y383.0 x407.0</t>
  </si>
  <si>
    <t>z87.0 y378.91748035246485 x371.1954036675399</t>
  </si>
  <si>
    <t>z87.0 y380.116615887545 x377.7388179143511</t>
  </si>
  <si>
    <t>-440.0|-440.0|-369.0|-238.0|-112.0|-97.0|-8.0|35.0|33.0|27.0|19.0|20.0|24.0|30.0|21.0|22.0|20.0|22.0|25.0|28.0|19.0|31.0|43.0|38.0|42.0|42.0|25.0|32.0|</t>
  </si>
  <si>
    <t>91.06334841628923|1.906458797327398|49.91095890410954|70.7100456621005|80.1050228310502|90.19770114942531|99.37122969837583|104.47877358490561|102.72985781990515|101.08076009501187|100.13908872901675|99.56490384615384|100.49152542372883|101.15403422982884|102.7245657568238|106.36498516320475|107.31152647975075|105.43729903536979|100.9290540540541|96.61267605633803|96.32116788321156|108.24170616113746|122.04861111111114|117.54716981132079|112.58333333333334|107.79245283018868|81.88461538461539|71.66666666666667|</t>
  </si>
  <si>
    <t>70.94048931582029|112.2618446414134|71.46812565700358|50.34057923136675|41.32550289328662|52.44471632659819|67.4109983530275|74.12234609717055|72.83899670001054|66.69844311460028|63.74604765768101|63.32224984910352|64.5981285259351|64.67234127336647|66.98913705498994|74.61163756024357|73.21893187912758|69.65875775242866|61.530466803455475|53.59424351466438|51.315886515337795|48.26637545882864|37.33637075834128|34.41125640632336|32.12205455584821|34.32220167684306|36.359663748843914|23.921166824012204|</t>
  </si>
  <si>
    <t>457.0|174.0|196.0|268.0|234.0|375.0|394.0|448.0|457.0|372.0|344.0|343.0|349.0|337.0|418.0|436.0|436.0|416.0|335.0|343.0|333.0|314.0|214.0|197.0|181.0|172.0|142.0|110.0|</t>
  </si>
  <si>
    <t>8398|449|438|438|438|435|431|424|422|421|417|416|413|409|403|337|321|311|296|284|274|211|144|106|72|53|26|9|</t>
  </si>
  <si>
    <t>18.299505462646483|0.9783850860595703|0.9544157409667968|0.9544157409667968|0.9544157409667968|0.947878646850586|0.9391625213623047|0.9239093017578125|0.9195512390136719|0.9173722076416015|0.9086560821533203|0.90647705078125|0.899939956665039|0.8912238311767579|0.878149642944336|0.7343335723876954|0.6994690704345703|0.6776787567138672|0.6449932861328125|0.6188449096679688|0.5970545959472656|0.45977561950683593|0.313780517578125|0.23097732543945312|0.1568902587890625|0.11548866271972656|0.05665481567382812|0.01961128234863281|</t>
  </si>
  <si>
    <t>764750.0|856.0|21861.0|30971.0|35086.0|39236.0|42829.0|44299.0|43352.0|42555.0|41758.0|41419.0|41503.0|41372.0|41398.0|35845.0|34447.0|32791.0|29875.0|27438.0|26392.0|22839.0|17575.0|12460.0|8106.0|5713.0|2129.0|645.0|</t>
  </si>
  <si>
    <t>57.0|57.0|64.0|77.0|89.0|91.0|100.0|104.0|104.0|103.0|102.0|103.0|103.0|104.0|103.0|103.0|103.0|103.0|103.0|103.0|102.0|104.0|105.0|104.0|105.0|105.0|103.0|104.0|</t>
  </si>
  <si>
    <t>109.66372945939482|100.75946547884182|105.53652968036535|107.64840182648409|108.55479452054794|109.58620689655177|110.4779582366589|110.98584905660377|110.8175355450237|110.64845605700715|110.57074340527576|110.53365384615384|110.62711864406774|110.65525672371626|110.84863523573196|111.19881305637979|111.30218068535825|111.09967845659166|110.63513513513513|110.25352112676056|110.1678832116789|111.35071090047393|112.76388888888893|112.3301886792453|111.81944444444449|111.33962264150945|108.80769230769229|107.88888888888889|</t>
  </si>
  <si>
    <t>7.096420042697734|11.21564512110923|7.150520548971608|5.050849623650186|4.157346177657473|5.251276197679972|6.754828229932221|7.428894870442306|7.28254262615861|6.679278321712636|6.389845637031805|6.335858125610908|6.475989602724191|6.455109459724665|6.699832735473638|7.4622053695219|7.308444412499328|6.928182337925462|6.128851407591238|5.394228292283519|5.168785232013576|4.8268833435412635|3.736059479197132|3.4332494595051766|3.2073110444424455|3.4583418222447806|3.6796658582543027|2.3778816176703|</t>
  </si>
  <si>
    <t>146.0|118.0|120.0|127.0|124.0|138.0|140.0|145.0|146.0|138.0|135.0|135.0|135.0|134.0|142.0|144.0|144.0|142.0|134.0|135.0|134.0|132.0|122.0|120.0|119.0|118.0|115.0|112.0|</t>
  </si>
  <si>
    <t>920956.0|45241.0|46225.0|47150.0|47547.0|47670.0|47616.0|47058.0|46765.0|46583.0|46108.0|45982.0|45689.0|45258.0|44672.0|37474.0|35728.0|34552.0|32748.0|31312.0|30186.0|23495.0|16238.0|11907.0|8051.0|5901.0|2829.0|971.0|</t>
  </si>
  <si>
    <t>Wed Apr 02 17:02:23 CDT 2025</t>
  </si>
  <si>
    <t>39.0 &lt;-&gt; 146.0</t>
  </si>
  <si>
    <t>Cluster(s) of 10115.0  voxels is(are) detected. If more than one cluster the texture calculation is only performed on the largest cluster. (size ok &gt;= 16.0vx)</t>
  </si>
  <si>
    <t>z88.0 y386.0 x408.0</t>
  </si>
  <si>
    <t>z88.0 y373.2825506673257 x366.222343054869</t>
  </si>
  <si>
    <t>z88.0 y374.4451149209376 x370.44109508473656</t>
  </si>
  <si>
    <t>-619.0|-619.0|-428.0|-219.0|-136.0|-104.0|-14.0|15.0|33.0|20.0|17.0|27.0|19.0|20.0|16.0|15.0|24.0|12.0|20.0|17.0|28.0|36.0|35.0|30.0|27.0|22.0|19.0|19.0|23.0|22.0|23.0|18.0|16.0|18.0|24.0|28.0|29.0|24.0|</t>
  </si>
  <si>
    <t>76.31458230351|-16.63671875|34.893145161290306|65.1074380165289|72.09110169491522|76.08189655172416|86.96026490066227|100.81447963800909|105.99532710280371|107.1884057971014|103.82382133995043|95.15979381443294|87.81962864721484|90.10743801652899|93.97701149425282|92.68882175226585|87.56190476190476|80.7566666666667|78.02090592334491|81.40875912408755|83.56756756756756|81.25714285714282|79.38095238095242|78.76190476190476|75.29743589743585|72.1027027027027|70.07558139534883|69.9068322981366|71.24161073825505|67.04411764705883|62.59375000000001|59.725663716814175|57.78999999999999|56.36781609195404|55.80263157894735|58.61666666666667|62.47727272727272|52.53846153846153|</t>
  </si>
  <si>
    <t>63.24965402644251|136.33946625237832|74.87100919265957|42.46793669529105|35.88975240371306|32.3411531876422|40.37323892285435|63.03002924575058|79.42009430889132|86.06970134003528|77.50867223255372|56.78241371387784|41.29655109034638|44.375209925933575|57.01436137117635|62.43534295792218|51.12448370856297|32.75857326292191|27.524956972212703|26.404919566102535|26.377828496072507|24.599386088241467|24.323262713905812|25.398921540480828|23.76775975311489|23.160433250936254|24.668266198095864|27.282238037336914|28.350550343654223|25.197708709750845|20.39662866597075|19.189897686857176|17.832159151375922|15.258022154202422|15.225515060721788|17.739871914857662|19.58024124231972|16.462616787111635|</t>
  </si>
  <si>
    <t>459.0|201.0|189.0|197.0|194.0|188.0|273.0|419.0|459.0|458.0|441.0|323.0|293.0|303.0|382.0|427.0|443.0|255.0|164.0|142.0|150.0|149.0|152.0|162.0|152.0|151.0|143.0|149.0|150.0|157.0|114.0|101.0|93.0|86.0|97.0|105.0|99.0|81.0|</t>
  </si>
  <si>
    <t>10115|512|496|484|472|464|453|442|428|414|403|388|377|363|348|331|315|300|287|274|259|245|231|210|195|185|172|161|149|136|128|113|100|87|76|60|44|13|</t>
  </si>
  <si>
    <t>22.04090232849121|1.1156640625|1.080799560546875|1.0546511840820312|1.0285028076171876|1.011070556640625|0.9871012115478516|0.9631318664550781|0.9326254272460938|0.9021189880371093|0.878149642944336|0.8454641723632812|0.8214948272705078|0.7909883880615234|0.7583029174804687|0.7212593841552735|0.6863948822021484|0.6537094116210938|0.6253820037841797|0.5970545959472656|0.564369125366211|0.5338626861572265|0.5033562469482422|0.4575965881347656|0.4249111175537109|0.4031208038330078|0.37479339599609374|0.3508240509033203|0.32467567443847656|0.2963482666015625|0.278916015625|0.24623054504394531|0.21790313720703125|0.18957572937011719|0.16560638427734375|0.13074188232421874|0.09587738037109375|0.02832740783691406|</t>
  </si>
  <si>
    <t>771922.0|-8518.0|17307.0|31512.0|34027.0|35302.0|39393.0|44560.0|45366.0|44376.0|41841.0|36922.0|33108.0|32709.0|32704.0|30680.0|27582.0|24227.0|22392.0|22306.0|21644.0|19908.0|18337.0|16540.0|14683.0|13339.0|12053.0|11255.0|10615.0|9118.0|8012.0|6749.0|5779.0|4904.0|4241.0|3517.0|2749.0|683.0|</t>
  </si>
  <si>
    <t>39.0|39.0|58.0|79.0|87.0|90.0|99.0|102.0|104.0|103.0|102.0|103.0|102.0|103.0|102.0|102.0|103.0|102.0|103.0|102.0|103.0|104.0|104.0|104.0|103.0|103.0|102.0|102.0|103.0|103.0|103.0|102.0|102.0|102.0|103.0|103.0|103.0|103.0|</t>
  </si>
  <si>
    <t>108.18091942659346|98.90625000000006|104.02822580645159|107.07024793388422|107.76059322033896|108.14008620689651|109.2406181015453|110.63574660633492|111.14719626168223|111.27536231884052|110.94540942928045|110.05927835051548|109.3262599469495|109.54820936639119|109.93390804597705|109.81873111782471|109.31111111111106|108.62666666666671|108.37630662020905|108.69343065693424|108.89189189189186|108.64489795918362|108.49350649350642|108.42380952380954|108.09230769230767|107.77297297297308|107.54651162790697|107.54658385093168|107.71140939597315|107.24999999999994|106.82031249999999|106.54867256637166|106.27|106.1264367816092|106.10526315789473|106.45|106.77272727272724|105.84615384615385|</t>
  </si>
  <si>
    <t>6.328219229830315|13.634994900530756|7.488109504341628|4.248386074269782|3.5778115156209624|3.229675972774992|4.0288070383386225|6.326407200179931|7.955443477525199|8.5956691566374|7.768486158170572|5.689934275239184|4.122420430158063|4.434371862893848|5.699737815369953|6.256144741805561|5.124950208387193|3.2823704171765207|2.77077762705658|2.6733670062864703|2.6237502801741983|2.4876069333586|2.443952036623693|2.5646692466419903|2.405483544905809|2.3278163585793257|2.4879101940354937|2.7071341463708944|2.826754493517808|2.5080751935439625|2.0631953136685244|1.9910914445536725|1.8322390673708517|1.6031907674409913|1.5267694425642413|1.7928097128994678|1.9171906099057388|1.7027648939368232|</t>
  </si>
  <si>
    <t>146.0|121.0|119.0|120.0|120.0|119.0|128.0|142.0|146.0|146.0|145.0|133.0|130.0|131.0|139.0|143.0|145.0|126.0|117.0|115.0|116.0|115.0|116.0|117.0|116.0|116.0|115.0|115.0|116.0|116.0|112.0|111.0|110.0|109.0|110.0|111.0|110.0|109.0|</t>
  </si>
  <si>
    <t>1094250.0|50640.0|51598.0|51822.0|50863.0|50177.0|49486.0|48901.0|47571.0|46068.0|44711.0|42703.0|41216.0|39766.0|38257.0|36350.0|34433.0|32588.0|31104.0|29782.0|28203.0|26618.0|25062.0|22769.0|21078.0|19938.0|18498.0|17315.0|16049.0|14586.0|13673.0|12040.0|10627.0|9233.0|8064.0|6387.0|4698.0|1376.0|</t>
  </si>
  <si>
    <t>38.0 &lt;-&gt; 132.0</t>
  </si>
  <si>
    <t>Cluster(s) of 9861.0  voxels is(are) detected. If more than one cluster the texture calculation is only performed on the largest cluster. (size ok &gt;= 16.0vx)</t>
  </si>
  <si>
    <t>z89.0 y391.0 x401.0</t>
  </si>
  <si>
    <t>z89.0 y373.39651150998884 x365.65125240847783</t>
  </si>
  <si>
    <t>z89.0 y370.06346488266644 x368.8071305835578</t>
  </si>
  <si>
    <t>-630.0|-630.0|-445.0|-197.0|-106.0|-126.0|-70.0|-24.0|-20.0|-3.0|28.0|23.0|30.0|2.0|2.0|27.0|31.0|27.0|30.0|17.0|20.0|29.0|30.0|34.0|33.0|31.0|20.0|1.0|8.0|22.0|13.0|25.0|18.0|20.0|27.0|29.0|24.0|27.0|38.0|27.0|38.0|</t>
  </si>
  <si>
    <t>68.63715647500243|-39.31404958677683|31.646186440677955|67.72451193058568|75.07555555555558|72.4276018099548|72.53703703703705|75.29594272076373|80.27832512315275|86.83673469387756|84.99736147757251|84.9128065395095|83.22000000000004|81.22848664688428|82.2676923076923|84.53993610223642|86.50335570469807|87.02097902097904|87.19565217391296|86.44696969696963|83.33999999999993|83.36286919831221|85.42035398230088|85.58878504672894|85.27227722772282|78.18848167539264|67.74999999999997|56.15976331360947|51.33121019108281|52.17931034482759|48.87878787878788|48.28448275862068|47.67326732673268|49.62790697674419|47.36842105263157|49.37878787878789|46.482142857142854|49.355555555555554|56.727272727272734|54.57142857142856|47.2|</t>
  </si>
  <si>
    <t>59.22176711839533|154.0804519411133|99.91258799417652|45.25109538385317|26.381619489970294|27.16066589899332|26.65648275189982|29.535113324640285|37.58070295554902|46.4812764317583|45.1721128790364|47.30022408393397|45.609649981430174|38.59419117006832|38.14005408286394|36.65275056469268|33.361880783468834|34.482785516016754|33.32326486250121|31.213903854653715|32.514741272229124|32.77945695887527|32.48628481004949|29.46008015642445|31.588162398675944|29.57050450090674|27.282447552308145|20.66450611463363|17.070997692862157|15.651228426181557|13.11489455301958|11.129958046271863|10.626986859906042|10.575362450908756|9.602414862477861|8.548905922406451|10.39916045963837|11.783520612477892|10.580922590446155|13.047792838606219|8.840814442120138|</t>
  </si>
  <si>
    <t>319.0|170.0|172.0|157.0|158.0|154.0|167.0|189.0|213.0|228.0|273.0|319.0|311.0|232.0|219.0|197.0|179.0|182.0|175.0|192.0|220.0|235.0|249.0|212.0|187.0|174.0|171.0|112.0|88.0|98.0|85.0|83.0|69.0|73.0|68.0|67.0|68.0|77.0|77.0|78.0|63.0|</t>
  </si>
  <si>
    <t>9861|484|472|461|450|442|432|419|406|392|379|367|350|337|325|313|298|286|276|264|250|237|226|214|202|191|180|169|157|145|132|116|101|86|76|66|56|45|33|21|5|</t>
  </si>
  <si>
    <t>21.48742835998535|1.0546511840820312|1.0285028076171876|1.004533462524414|0.9805641174316406|0.9631318664550781|0.941341552734375|0.9130141448974609|0.8846867370605469|0.8541802978515625|0.8258528900146485|0.7997045135498047|0.7626609802246094|0.7343335723876954|0.7081851959228516|0.6820368194580078|0.6493513488769531|0.6232029724121094|0.6014126586914063|0.5752642822265625|0.5447578430175781|0.5164304351806641|0.49246109008789063|0.4663127136230469|0.44016433715820313|0.4161949920654297|0.39222564697265627|0.3682563018798828|0.34210792541503904|0.3159595489501953|0.2876321411132812|0.25276763916015627|0.22008216857910157|0.18739669799804687|0.16560638427734375|0.1438160705566406|0.1220257568359375|0.09805641174316407|0.0719080352783203|0.045759658813476566|0.010895156860351562|</t>
  </si>
  <si>
    <t>676831.0|-19028.0|14937.0|31221.0|33784.0|32013.0|31336.0|31549.0|32593.0|34040.0|32214.0|31163.0|29127.0|27374.0|26737.0|26461.0|25778.0|24888.0|24066.0|22822.0|20835.0|19757.0|19305.0|18316.0|17225.0|14934.0|12195.0|9491.0|8059.0|7566.0|6452.0|5601.0|4815.0|4268.0|3600.0|3259.0|2603.0|2221.0|1872.0|1146.0|236.0|</t>
  </si>
  <si>
    <t>38.0|38.0|56.0|81.0|90.0|88.0|94.0|98.0|99.0|100.0|103.0|103.0|104.0|101.0|101.0|103.0|104.0|103.0|104.0|102.0|103.0|103.0|104.0|104.0|104.0|104.0|103.0|101.0|101.0|103.0|102.0|103.0|102.0|103.0|103.0|103.0|103.0|103.0|104.0|103.0|104.0|</t>
  </si>
  <si>
    <t>107.41618497109812|96.63636363636364|103.68220338983049|107.32971800433842|108.06444444444432|107.80090497737561|107.81018518518518|108.08353221957039|108.58866995073885|109.2423469387756|109.03166226912926|109.04632152588555|108.88857142857147|108.67952522255192|108.81538461538464|109.00000000000006|109.20469798657716|109.25524475524472|109.26811594202898|109.21590909090905|108.86800000000002|108.88607594936705|109.0575221238938|109.10280373831775|109.06435643564352|108.36125654450262|107.34999999999994|106.16568047337279|105.66878980891717|105.79999999999998|105.43181818181817|105.36206896551724|105.31683168316829|105.55813953488371|105.27631578947364|105.4242424242424|105.16071428571429|105.51111111111113|106.27272727272727|106.04761904761905|105.2|</t>
  </si>
  <si>
    <t>5.924293160815881|15.398561701644054|9.989860379370203|4.540940030763977|2.631067004134809|2.7151659024539363|2.6685909659376845|2.9555483086980354|3.747678388664197|4.649439575844525|4.54575682944311|4.741322931901761|4.548360547875397|3.87389832105672|3.808057480546742|3.66574681074828|3.3370572490271346|3.4723519028603205|3.3406583033289916|3.1301885301303725|3.252472290427703|3.295518021830013|3.2330238813921737|2.9779080013131836|3.159273138562529|2.9816834368240683|2.759780587091826|2.063146540937418|1.735315221394416|1.5695375993782603|1.3606659567028299|1.177347630702004|1.0893789044276623|1.0521810256617314|0.9947055132911158|0.9384159131637589|1.0137762805169461|1.240469843284701|1.1354541815269812|1.3619380615309566|0.9797958971132702|</t>
  </si>
  <si>
    <t>132.0|118.0|118.0|116.0|116.0|116.0|117.0|119.0|122.0|123.0|128.0|132.0|132.0|124.0|122.0|120.0|118.0|119.0|118.0|120.0|123.0|124.0|125.0|122.0|119.0|118.0|118.0|112.0|109.0|110.0|109.0|109.0|107.0|108.0|107.0|107.0|107.0|108.0|108.0|108.0|107.0|</t>
  </si>
  <si>
    <t>1059231.0|46772.0|48938.0|49479.0|48629.0|47648.0|46574.0|45287.0|44087.0|42823.0|41323.0|40020.0|38111.0|36625.0|35365.0|34117.0|32543.0|31247.0|30158.0|28833.0|27217.0|25806.0|24647.0|23348.0|22031.0|20697.0|19323.0|17942.0|16590.0|15341.0|13917.0|12222.0|10637.0|9078.0|8001.0|6958.0|5889.0|4748.0|3507.0|2227.0|526.0|</t>
  </si>
  <si>
    <t>Wed Apr 02 17:02:24 CDT 2025</t>
  </si>
  <si>
    <t>13.0 &lt;-&gt; 134.0</t>
  </si>
  <si>
    <t>Cluster(s) of 9280.0  voxels is(are) detected. If more than one cluster the texture calculation is only performed on the largest cluster. (size ok &gt;= 16.0vx)</t>
  </si>
  <si>
    <t>z90.0 y345.0 x375.0</t>
  </si>
  <si>
    <t>z90.0 y371.1908405172414 x364.3761853448276</t>
  </si>
  <si>
    <t>z90.0 y367.9186106705618 x367.52058968026563</t>
  </si>
  <si>
    <t>-879.0|-879.0|-455.0|-338.0|-88.0|-10.0|-46.0|-70.0|-41.0|16.0|24.0|20.0|9.0|26.0|22.0|28.0|27.0|15.0|21.0|35.0|28.0|27.0|26.0|27.0|17.0|19.0|30.0|26.0|27.0|20.0|13.0|26.0|25.0|34.0|24.0|31.0|32.0|39.0|32.0|</t>
  </si>
  <si>
    <t>65.36271551724151|-32.34246575342464|22.84756097560975|53.13626834381549|66.41409691629951|68.00000000000001|68.17948717948713|68.95631067961163|68.615|71.7597911227154|75.05978260869563|77.77337110481588|81.42647058823528|86.56615384615384|91.75244299674264|93.22525597269626|90.4172661870503|90.79999999999994|88.96414342629483|90.2085106382979|90.33928571428571|85.19718309859162|81.31188118811878|79.66666666666669|75.84444444444438|72.0118343195266|64.69620253164562|59.83448275862069|55.43076923076927|50.71551724137932|48.98076923076922|50.543478260869556|48.94999999999998|50.36764705882353|50.71929824561405|48.1875|49.684210526315795|52.6|49.263157894736835|</t>
  </si>
  <si>
    <t>62.196715094030765|153.2282174767496|97.64072153656608|69.51322427551086|35.93944214532941|24.816885945950165|25.351936772272726|26.705841584537826|27.485210113804847|28.184856996710813|28.449071811032123|31.196892309472055|36.422163653334906|46.374655800250615|54.196204828477306|50.72024365479778|41.34482112977252|42.88732055224417|41.284006978906596|36.99274126490816|37.187160219679065|39.05285441647585|36.37220619635058|36.765775147849425|35.79429225483711|32.330941847977215|30.06947837730198|24.879298635502774|18.644421092375662|14.611524758455024|11.600713480404462|11.093881043050423|10.595871837654512|8.76809794211329|12.897374118659332|9.532086711908013|8.541247484252967|9.520504188329523|10.71075261625663|</t>
  </si>
  <si>
    <t>339.0|302.0|146.0|154.0|155.0|160.0|168.0|154.0|176.0|193.0|198.0|204.0|236.0|311.0|339.0|313.0|256.0|248.0|231.0|177.0|203.0|193.0|167.0|172.0|172.0|158.0|158.0|152.0|152.0|111.0|78.0|78.0|78.0|78.0|83.0|70.0|69.0|76.0|66.0|</t>
  </si>
  <si>
    <t>9280|511|492|477|454|442|429|412|400|383|368|353|340|325|307|293|278|265|251|235|224|213|202|192|180|169|158|145|130|116|104|92|80|68|57|48|38|30|19|</t>
  </si>
  <si>
    <t>20.2214111328125|1.1134850311279296|1.0720834350585937|1.039397964477539|0.9892802429199219|0.9631318664550781|0.9348044586181641|0.8977609252929688|0.871612548828125|0.8345690155029297|0.801883544921875|0.7691980743408203|0.7408706665039062|0.7081851959228516|0.668962631225586|0.6384561920166015|0.6057707214355469|0.5774433135986328|0.5469368743896484|0.5120723724365235|0.48810302734375|0.46413368225097656|0.44016433715820313|0.4183740234375|0.39222564697265627|0.3682563018798828|0.34428695678710936|0.3159595489501953|0.28327407836914065|0.25276763916015627|0.2266192626953125|0.20047088623046874|0.174322509765625|0.14817413330078125|0.12420478820800782|0.104593505859375|0.08280319213867188|0.06537094116210937|0.04140159606933594|</t>
  </si>
  <si>
    <t>606566.0|-16527.0|11241.0|25346.0|30152.0|30056.0|29249.0|28410.0|27446.0|27484.0|27622.0|27454.0|27685.0|28134.0|28168.0|27315.0|25136.0|24062.0|22330.0|21199.0|20236.0|18147.0|16425.0|15296.0|13652.0|12170.0|10222.0|8676.0|7206.0|5883.0|5094.0|4650.0|3916.0|3425.0|2891.0|2313.0|1888.0|1578.0|936.0|</t>
  </si>
  <si>
    <t>13.0|13.0|55.0|67.0|92.0|100.0|96.0|94.0|96.0|102.0|103.0|103.0|101.0|103.0|103.0|103.0|103.0|102.0|103.0|104.0|103.0|103.0|103.0|103.0|102.0|102.0|104.0|103.0|103.0|103.0|102.0|103.0|103.0|104.0|103.0|104.0|104.0|104.0|104.0|</t>
  </si>
  <si>
    <t>107.08609913793119|97.32681017612522|102.80691056910572|105.86792452830183|107.18502202643177|107.37556561085968|107.35897435897431|107.4611650485437|107.40750000000008|107.69190600522195|108.07880434782601|108.32577903682716|108.68235294117649|109.20000000000006|109.74592833876228|109.89078498293519|109.60791366906473|109.63773584905663|109.48207171314739|109.58723404255325|109.5758928571428|109.07042253521129|108.65841584158419|108.51041666666667|108.12777777777781|107.72781065088759|107.02531645569621|106.52413793103445|106.0769230769231|105.57758620689651|105.42307692307692|105.61956521739128|105.42499999999997|105.57352941176474|105.64912280701758|105.33333333333334|105.44736842105263|105.83333333333334|105.52631578947368|</t>
  </si>
  <si>
    <t>6.222960533421097|15.32098970176085|9.762698266733777|6.939794891404592|3.60569121535441|2.4787130421335064|2.5413677413966576|2.6932037084998592|2.758884511899696|2.8254923592366947|2.8688330237645414|3.1142255212279717|3.658066878447857|4.616358871531674|5.407854828397992|5.082428109970354|4.144972941189659|4.290939397306415|4.134525376687718|3.722823054943062|3.7241428912213665|3.910947474730715|3.6311569038997904|3.7038684497502876|3.5917042620701385|3.232123608001613|2.997782655434326|2.4915934760591547|1.9159869303207073|1.5208372357819144|1.1741798094210574|1.1780823705639802|1.0341058939973236|0.912594499064722|1.3177762777693989|0.9860132971832691|0.7846342903092416|1.0027739304327532|1.0447070126989082|</t>
  </si>
  <si>
    <t>134.0|131.0|115.0|116.0|116.0|117.0|117.0|116.0|118.0|120.0|120.0|121.0|124.0|132.0|134.0|132.0|126.0|125.0|124.0|118.0|121.0|120.0|117.0|118.0|118.0|116.0|116.0|116.0|116.0|112.0|108.0|108.0|108.0|108.0|109.0|108.0|107.0|108.0|107.0|</t>
  </si>
  <si>
    <t>993759.0|49734.0|50581.0|50499.0|48662.0|47460.0|46057.0|44274.0|42963.0|41246.0|39773.0|38239.0|36952.0|35490.0|33692.0|32198.0|30471.0|29054.0|27480.0|25753.0|24545.0|23232.0|21949.0|20834.0|19463.0|18206.0|16910.0|15446.0|13790.0|12247.0|10964.0|9717.0|8434.0|7179.0|6022.0|5056.0|4007.0|3175.0|2005.0|</t>
  </si>
  <si>
    <t>34.0 &lt;-&gt; 129.0</t>
  </si>
  <si>
    <t>Cluster(s) of 8410.0  voxels is(are) detected. If more than one cluster the texture calculation is only performed on the largest cluster. (size ok &gt;= 16.0vx)</t>
  </si>
  <si>
    <t>z91.0 y346.0 x377.0</t>
  </si>
  <si>
    <t>z91.0 y364.2136741973841 x364.1737217598097</t>
  </si>
  <si>
    <t>z91.0 y363.782275671522 x364.62663435301835</t>
  </si>
  <si>
    <t>-664.0|-664.0|-450.0|-247.0|-134.0|-107.0|-63.0|18.0|30.0|28.0|25.0|29.0|26.0|29.0|17.0|23.0|20.0|22.0|22.0|28.0|17.0|20.0|21.0|30.0|33.0|33.0|30.0|25.0|26.0|27.0|28.0|19.0|22.0|33.0|41.0|52.0|</t>
  </si>
  <si>
    <t>62.359453032104625|-48.611222444889826|20.160751565762|57.75271149674619|68.08705357142853|68.66744186046513|67.8907766990291|69.80750000000008|71.66062176165802|71.73170731707317|71.39601139601142|70.53067484662577|74.34090909090916|77.04421768707486|76.93189964157702|81.53531598513013|84.42352941176472|81.23868312757209|78.79220779220778|80.44545454545452|85.66990291262131|84.39896373056992|82.75409836065575|81.59649122807014|79.71875000000006|76.31724137931033|69.96212121212119|65.425|57.981308411214954|54.095744680851055|53.024390243902445|57.56666666666668|53.22727272727274|52.206896551724135|53.833333333333336|57.0|</t>
  </si>
  <si>
    <t>68.26641903827696|178.9940190957584|101.22486411496317|54.0923491109796|37.57069541302845|30.819936321337057|26.08863183548008|22.754020386516306|21.88183891323605|23.340674746610755|22.85230383044222|24.82868870843093|30.00298711023939|32.53352144458489|33.67085602025708|37.310358872238766|43.719706994673636|46.78354659504451|45.901929430348396|47.339314117940326|50.669572714003614|50.882689412291285|48.08382562236629|47.673914176955066|48.13537834522026|46.28021152281944|43.75801317144759|38.44079050956159|29.80653547741778|19.737678164846727|12.296118373991927|13.106444555595118|12.464246387829833|7.038707318353022|7.174414416676961|3.265986323710904|</t>
  </si>
  <si>
    <t>280.0|242.0|237.0|227.0|181.0|169.0|162.0|152.0|151.0|153.0|150.0|169.0|187.0|197.0|179.0|198.0|263.0|280.0|270.0|235.0|237.0|222.0|216.0|226.0|224.0|221.0|215.0|198.0|178.0|170.0|86.0|81.0|75.0|65.0|69.0|62.0|</t>
  </si>
  <si>
    <t>8410|499|479|461|448|430|412|400|386|369|351|326|308|294|279|269|255|243|231|220|206|193|183|171|160|145|132|120|107|94|82|60|44|29|18|6|</t>
  </si>
  <si>
    <t>18.32565383911133|1.087336654663086|1.0437560272216797|1.004533462524414|0.9762060546875|0.9369834899902344|0.8977609252929688|0.871612548828125|0.8411061096191407|0.8040625762939453|0.7648400115966797|0.7103642272949219|0.6711416625976563|0.6406352233886718|0.6079497528076172|0.586159439086914|0.5556529998779297|0.5295046234130859|0.5033562469482422|0.47938690185546873|0.4488804626464844|0.42055305480957034|0.39876274108886717|0.3726143646240234|0.34864501953125|0.3159595489501953|0.2876321411132812|0.2614837646484375|0.23315635681152344|0.20482894897460938|0.17868057250976563|0.13074188232421874|0.09587738037109375|0.06319190979003907|0.03922256469726562|0.013074188232421876|</t>
  </si>
  <si>
    <t>524443.0|-24257.0|9657.0|26624.0|30503.0|29527.0|27971.0|27923.0|27661.0|26469.0|25060.0|22993.0|22897.0|22651.0|21464.0|21933.0|21528.0|19741.0|18201.0|17698.0|17648.0|16289.0|15144.0|13953.0|12755.0|11066.0|9235.0|7851.0|6204.0|5085.0|4348.0|3454.0|2342.0|1514.0|969.0|342.0|</t>
  </si>
  <si>
    <t>34.0|34.0|56.0|76.0|87.0|90.0|94.0|102.0|104.0|103.0|103.0|103.0|103.0|103.0|102.0|103.0|103.0|103.0|103.0|103.0|102.0|103.0|103.0|104.0|104.0|104.0|104.0|103.0|103.0|103.0|103.0|102.0|103.0|104.0|105.0|106.0|</t>
  </si>
  <si>
    <t>106.78727705112944|95.70340681362728|102.56993736951989|106.3383947939261|107.3571428571429|107.42558139534887|107.32524271844662|107.5425|107.73834196891198|107.72628726287259|107.69800569800567|107.58588957055217|107.99025974025976|108.25170068027215|108.26164874551972|108.67286245353161|108.99999999999996|108.68724279835394|108.46320346320346|108.5909090909091|109.11165048543694|108.96373056994815|108.81420765027316|108.71345029239764|108.48750000000001|108.13793103448273|107.51515151515153|107.1083333333333|106.34579439252332|105.97872340425528|105.8170731707317|106.28333333333335|105.81818181818181|105.86206896551725|106.00000000000001|106.16666666666667|</t>
  </si>
  <si>
    <t>6.829296534686196|17.9103816810462|10.119062304222927|5.386415469481028|3.7804883066522894|3.0784768978858152|2.633068955715694|2.313696987507217|2.1978395767974144|2.3474341718550438|2.293300414684111|2.508326680532581|3.0016071340334416|3.280209752325486|3.3696407823488115|3.7313162292470343|4.369232893590292|4.675578110720001|4.602576555576743|4.7180416864809365|5.062920623223605|5.097366034236981|4.82801651797765|4.777480718287723|4.823105197898963|4.64701712210906|4.389182377931006|3.842299297151239|2.9611276070762513|2.010497574721954|1.250639336796826|1.3551342696902386|1.2662171161076456|0.7756704744277234|0.7453559924999319|0.37267799624996545|</t>
  </si>
  <si>
    <t>129.0|125.0|124.0|123.0|119.0|117.0|117.0|116.0|116.0|116.0|116.0|117.0|119.0|120.0|118.0|120.0|127.0|129.0|128.0|124.0|124.0|123.0|122.0|123.0|123.0|123.0|122.0|120.0|118.0|118.0|109.0|109.0|108.0|107.0|107.0|107.0|</t>
  </si>
  <si>
    <t>898081.0|47756.0|49131.0|49022.0|48096.0|46193.0|44218.0|43017.0|41587.0|39751.0|37802.0|35073.0|33261.0|31826.0|30205.0|29233.0|27795.0|26411.0|25055.0|23890.0|22477.0|21030.0|19913.0|18590.0|17358.0|15680.0|14192.0|12853.0|11379.0|9962.0|8677.0|6377.0|4656.0|3070.0|1908.0|637.0|</t>
  </si>
  <si>
    <t>31.0 &lt;-&gt; 125.0</t>
  </si>
  <si>
    <t>Cluster(s) of 7787.0  voxels is(are) detected. If more than one cluster the texture calculation is only performed on the largest cluster. (size ok &gt;= 16.0vx)</t>
  </si>
  <si>
    <t>z92.0 y369.0 x385.0</t>
  </si>
  <si>
    <t>z92.0 y362.8801849235906 x364.1485809682805</t>
  </si>
  <si>
    <t>z92.0 y362.4839992527865 x363.498908238029</t>
  </si>
  <si>
    <t>-700.0|-700.0|-555.0|-476.0|-424.0|-197.0|-16.0|-17.0|-21.0|-16.0|-71.0|-72.0|-32.0|18.0|22.0|28.0|31.0|20.0|28.0|32.0|21.0|21.0|26.0|29.0|32.0|31.0|34.0|37.0|39.0|35.0|32.0|22.0|26.0|32.0|25.0|34.0|</t>
  </si>
  <si>
    <t>61.8710671632208|-37.3413654618474|25.60421052631579|49.66445916114792|58.30821917808219|64.68990384615391|65.78391959798996|65.86351706036741|66.91643454039|67.89149560117295|66.09375|66.59999999999994|68.92936802973982|69.57364341085274|71.94331983805668|77.07203389830505|79.6725663716814|82.1805555555556|85.27363184079599|85.92934782608688|85.77586206896555|86.63253012048186|86.22077922077915|88.26027397260269|90.60294117647058|91.04724409448819|90.41525423728814|88.53636363636362|85.15000000000003|78.18478260869566|75.12658227848104|66.32835820895525|67.38|70.75|60.08333333333333|46.857142857142854|</t>
  </si>
  <si>
    <t>66.7226996835926|158.5015675740676|101.36370773323836|74.10491634482491|57.848435852826896|35.41956616474074|26.67284661309694|28.653184717487054|28.851724145591223|24.167729224863972|24.6658409736522|27.673941127780456|24.958527533222703|21.181670880721395|21.412207203339786|24.447780342187876|27.29839778690904|32.3118455470176|35.61820417847149|37.716194301893026|40.71221247913816|45.085633670583015|45.794040154571725|49.84868264627236|51.33930947365608|50.51543122272227|45.35104623299102|40.63153215125756|36.42262346399556|31.865181129737866|29.49034044324378|23.86678705167903|23.93649097090048|27.504923801627474|24.217618701176125|8.757504070853773|</t>
  </si>
  <si>
    <t>249.0|173.0|173.0|168.0|179.0|169.0|184.0|215.0|228.0|174.0|147.0|163.0|150.0|134.0|135.0|151.0|151.0|179.0|189.0|196.0|198.0|240.0|240.0|240.0|230.0|249.0|239.0|196.0|179.0|150.0|148.0|140.0|121.0|131.0|120.0|60.0|</t>
  </si>
  <si>
    <t>7787|498|475|453|438|416|398|381|359|341|320|285|269|258|247|236|226|216|201|184|174|166|154|146|136|127|118|110|100|92|79|67|50|36|24|7|</t>
  </si>
  <si>
    <t>16.968117294311522|1.0851576232910156|1.0350399017333984|0.9871012115478516|0.9544157409667968|0.90647705078125|0.8672544860839844|0.8302109527587891|0.7822722625732422|0.7430496978759765|0.6972900390625|0.6210239410400391|0.586159439086914|0.5621900939941407|0.5382207489013672|0.5142514038085938|0.49246109008789063|0.4706707763671875|0.4379853057861328|0.4009417724609375|0.37915145874023437|0.3617192077636719|0.33557083129882814|0.3181385803222656|0.2963482666015625|0.2767369842529297|0.2571257019042969|0.23969345092773436|0.21790313720703125|0.20047088623046874|0.17214347839355468|0.14599510192871093|0.10895156860351562|0.07844512939453124|0.0522967529296875|0.015253219604492187|</t>
  </si>
  <si>
    <t>481790.0|-18596.0|12162.0|22498.0|25539.0|26911.0|26182.0|25094.0|24023.0|23151.0|21150.0|18981.0|18542.0|17950.0|17770.0|18189.0|18006.0|17751.0|17140.0|15811.0|14925.0|14381.0|13278.0|12886.0|12322.0|11563.0|10669.0|9739.0|8515.0|7193.0|5935.0|4444.0|3369.0|2547.0|1442.0|328.0|</t>
  </si>
  <si>
    <t>31.0|31.0|45.0|53.0|58.0|81.0|99.0|99.0|98.0|99.0|93.0|93.0|97.0|102.0|103.0|103.0|104.0|103.0|103.0|104.0|103.0|103.0|103.0|103.0|104.0|104.0|104.0|104.0|104.0|104.0|104.0|103.0|103.0|104.0|103.0|104.0|</t>
  </si>
  <si>
    <t>106.74046487735973|96.81526104417675|103.11578947368427|105.51434878587197|106.37214611872157|107.03124999999996|107.1381909547739|107.13910761154852|107.25348189415043|107.34017595307917|107.12499999999999|107.17894736842106|107.43122676579931|107.53488372093021|107.79757085020245|108.26694915254237|108.54424778761057|108.73611111111111|109.08955223880601|109.11413043478262|109.15517241379315|109.21084337349392|109.12987012987008|109.37671232876711|109.6470588235294|109.6535433070866|109.62711864406779|109.43636363636368|109.11|108.38043478260869|108.02531645569623|107.28358208955224|107.25999999999995|107.61111111111114|106.54166666666666|105.28571428571429|</t>
  </si>
  <si>
    <t>6.682247444736947|15.862803097832705|10.15818379735973|7.395356327865253|5.800397597505835|3.543884816320377|2.6859954582476933|2.8770187693024285|2.9185475208205554|2.4378128204067737|2.494368657596549|2.7858500130975297|2.5079632987117435|2.1514246645547135|2.1482301749711|2.468601301799267|2.7555716061562237|3.267374025833492|3.581592005246726|3.744999028319925|4.076009391117787|4.536080576837736|4.620256498616047|4.982352982879913|5.1713711513268015|5.053069469839312|4.503852607263858|4.046383958609949|3.6052600460993114|3.2398416202042295|2.9765951304706975|2.429949757783247|2.423303530307334|2.7515427771199517|2.432063024585415|0.8806305718527099|</t>
  </si>
  <si>
    <t>125.0|118.0|118.0|117.0|118.0|117.0|119.0|122.0|123.0|118.0|115.0|117.0|116.0|114.0|114.0|116.0|116.0|118.0|119.0|120.0|120.0|125.0|125.0|125.0|124.0|125.0|124.0|120.0|118.0|116.0|115.0|115.0|113.0|114.0|113.0|107.0|</t>
  </si>
  <si>
    <t>831188.0|48214.0|48980.0|47798.0|46591.0|44525.0|42641.0|40820.0|38504.0|36603.0|34280.0|30546.0|28899.0|27744.0|26626.0|25551.0|24531.0|23487.0|21927.0|20077.0|18993.0|18129.0|16806.0|15969.0|14912.0|13926.0|12936.0|12038.0|10911.0|9971.0|8534.0|7188.0|5363.0|3874.0|2557.0|737.0|</t>
  </si>
  <si>
    <t>Wed Apr 02 17:02:25 CDT 2025</t>
  </si>
  <si>
    <t>45.0 &lt;-&gt; 126.0</t>
  </si>
  <si>
    <t>Cluster(s) of 5337.0  voxels is(are) detected. If more than one cluster the texture calculation is only performed on the largest cluster. (size ok &gt;= 16.0vx)</t>
  </si>
  <si>
    <t>z93.0 y365.0 x385.0</t>
  </si>
  <si>
    <t>z93.0 y361.0322278433577 x365.57129473486975</t>
  </si>
  <si>
    <t>z93.0 y361.7377196586009 x366.3618273067565</t>
  </si>
  <si>
    <t>-557.0|-557.0|-411.0|-260.0|-93.0|-46.0|-37.0|-35.0|-28.0|-9.0|20.0|21.0|22.0|22.0|23.0|29.0|34.0|26.0|33.0|38.0|37.0|38.0|19.0|8.0|28.0|50.0|60.0|64.0|</t>
  </si>
  <si>
    <t>65.2233464493161|-24.002695417789777|34.31355932203389|60.9913294797688|69.27976190476197|69.59133126934984|69.07119741100327|68.88813559322033|69.11913357400718|67.41064638783274|70.07287449392717|69.5726495726495|74.08597285067876|79.67942583732048|83.97474747474747|88.39890710382514|90.26829268292683|90.25165562913908|92.16546762589931|92.53906249999999|89.94827586206898|83.30841121495327|78.14432989690721|72.28235294117648|70.88000000000002|78.60937499999997|78.79545454545455|64.0|</t>
  </si>
  <si>
    <t>58.72301348154598|133.76659276681755|84.63374390339375|53.4158344492416|29.924393934117752|21.537501006869643|20.20385057799274|21.98114048910914|20.030758711445895|17.609154440645412|18.248031146541233|20.933274636254563|28.510327295825633|35.99279044841673|39.02465380671827|39.558345908872575|42.74043860569308|47.95171668481205|48.948158910755254|47.26783762899562|49.521650581717225|42.74033994042894|35.30631487300518|28.950103835923052|23.119953863852466|16.32541843596589|12.967756421662546|0.0|</t>
  </si>
  <si>
    <t>258.0|186.0|186.0|181.0|173.0|140.0|124.0|133.0|121.0|109.0|118.0|127.0|151.0|177.0|193.0|214.0|231.0|248.0|230.0|237.0|257.0|258.0|216.0|184.0|117.0|111.0|113.0|64.0|</t>
  </si>
  <si>
    <t>5337|371|354|346|336|323|309|295|277|263|247|234|221|209|198|183|164|151|139|128|116|107|97|85|75|64|44|1|</t>
  </si>
  <si>
    <t>11.629490432739258|0.8084206390380859|0.7713771057128906|0.7539448547363281|0.732154541015625|0.7038271331787109|0.6733206939697266|0.6428142547607422|0.6035916900634766|0.5730852508544921|0.5382207489013672|0.5098933410644532|0.48156593322753904|0.4554175567626953|0.43144821166992187|0.39876274108886717|0.35736114501953126|0.3290337371826172|0.30288536071777344|0.278916015625|0.25276763916015627|0.23315635681152344|0.2113660430908203|0.18521766662597655|0.16342735290527344|0.1394580078125|0.09587738037109375|0.0021790313720703126|</t>
  </si>
  <si>
    <t>348097.0|-8905.0|12147.0|21103.0|23278.0|22478.0|21343.0|20322.0|19146.0|17729.0|17308.0|16280.0|16373.0|16653.0|16627.0|16177.0|14804.0|13628.0|12811.0|11845.0|10434.0|8914.0|7580.0|6144.0|5316.0|5031.0|3467.0|64.0|</t>
  </si>
  <si>
    <t>45.0|45.0|59.0|75.0|91.0|96.0|97.0|97.0|98.0|100.0|103.0|103.0|103.0|103.0|103.0|103.0|104.0|103.0|104.0|104.0|104.0|104.0|102.0|101.0|103.0|106.0|107.0|107.0|</t>
  </si>
  <si>
    <t>107.0749484729247|98.14016172506741|104.00000000000006|106.65317919075136|107.49404761904762|107.5232198142415|107.46601941747574|107.44067796610167|107.4657039711191|107.3155893536121|107.56275303643727|107.50427350427354|107.92760180995481|108.50717703349282|108.94444444444446|109.3825136612022|109.5853658536585|109.58940397350993|109.73381294964027|109.796875|109.55172413793102|108.88785046728974|108.34020618556703|107.76470588235293|107.62666666666668|108.484375|108.40909090909092|107.0|</t>
  </si>
  <si>
    <t>5.87860487214451|13.384296183977021|8.459608250469545|5.369680861252901|2.9920470453423613|2.193838720710037|2.050253125017889|2.231296548225868|2.000833930585463|1.7794839295998586|1.842785833261183|2.1127368389926007|2.864071105691734|3.6063734348281598|3.901818333484997|3.9375063838725923|4.301024323577438|4.789988902334482|4.882173621898823|4.734117154694737|4.913641860951326|4.31759517437537|3.540302852495028|2.929151890197528|2.3080920451509033|1.6582387823757465|1.28484491137296|0.0|</t>
  </si>
  <si>
    <t>126.0|119.0|119.0|119.0|118.0|115.0|113.0|114.0|113.0|111.0|112.0|113.0|116.0|118.0|120.0|122.0|124.0|125.0|124.0|124.0|126.0|126.0|122.0|119.0|112.0|112.0|112.0|107.0|</t>
  </si>
  <si>
    <t>571459.0|36410.0|36816.0|36902.0|36118.0|34730.0|33207.0|31695.0|29768.0|28224.0|26568.0|25156.0|23852.0|22678.0|21571.0|20017.0|17972.0|16548.0|15253.0|14054.0|12708.0|11651.0|10509.0|9160.0|8072.0|6943.0|4770.0|107.0|</t>
  </si>
  <si>
    <t>51.0 &lt;-&gt; 124.0</t>
  </si>
  <si>
    <t>Cluster(s) of 4025.0  voxels is(are) detected. If more than one cluster the texture calculation is only performed on the largest cluster. (size ok &gt;= 16.0vx)</t>
  </si>
  <si>
    <t>z94.0 y344.0 x347.0</t>
  </si>
  <si>
    <t>z94.0 y359.56024844720497 x363.5701863354037</t>
  </si>
  <si>
    <t>z94.0 y359.0284333012431 x356.3183709346616</t>
  </si>
  <si>
    <t>-498.0|-498.0|-337.0|-83.0|-30.0|2.0|22.0|19.0|20.0|21.0|27.0|30.0|29.0|25.0|26.0|19.0|35.0|70.0|81.0|</t>
  </si>
  <si>
    <t>59.356521739130386|-11.997333333333328|47.664819944598335|64.53333333333329|67.59159159159158|69.24148606811146|68.05844155844157|68.50684931506851|67.8695652173913|65.10937500000001|68.375|71.6303317535545|71.86096256684485|70.5664739884393|72.20645161290322|70.49285714285712|87.90697674418604|82.42857142857143|81.0|</t>
  </si>
  <si>
    <t>55.70163058666684|127.42748000158979|67.86124108902|36.495696258745745|26.19644294541459|25.978626847852464|27.348339063265108|27.42367904320945|25.48609341939204|23.120180029778638|27.679381642360585|31.343621154769767|25.25298574254216|19.59687446312069|22.85909059636493|25.599803690254976|27.58902204449357|13.398903397102988|0.0|</t>
  </si>
  <si>
    <t>232.0|192.0|182.0|159.0|146.0|158.0|174.0|175.0|180.0|153.0|221.0|232.0|209.0|121.0|149.0|166.0|146.0|122.0|81.0|</t>
  </si>
  <si>
    <t>4025|375|361|345|333|323|308|292|276|256|232|211|187|173|155|140|43|14|1|</t>
  </si>
  <si>
    <t>8.770601272583008|0.8171367645263672|0.7866303253173829|0.7517658233642578|0.7256174468994141|0.7038271331787109|0.6711416625976563|0.6362771606445312|0.6014126586914063|0.55783203125|0.5055352783203125|0.45977561950683593|0.40747886657714844|0.37697242736816405|0.33774986267089846|0.30506439208984376|0.09369834899902343|0.030506439208984375|0.0021790313720703126|</t>
  </si>
  <si>
    <t>238910.0|-4499.0|17207.0|22264.0|22508.0|22365.0|20962.0|20004.0|18732.0|16668.0|15863.0|15114.0|13438.0|12208.0|11192.0|9869.0|3780.0|1154.0|81.0|</t>
  </si>
  <si>
    <t>51.0|51.0|67.0|92.0|98.0|101.0|103.0|102.0|103.0|103.0|103.0|104.0|103.0|103.0|103.0|102.0|104.0|108.0|109.0|</t>
  </si>
  <si>
    <t>106.49217391304357|99.3626666666666|105.3296398891967|106.99999999999994|107.31531531531533|107.4303405572756|107.39285714285714|107.39726027397262|107.32246376811591|107.07421875|107.40517241379307|107.73933649289098|107.73262032085566|107.60115606936415|107.83225806451613|107.61428571428571|109.32558139534882|108.85714285714286|109.0|</t>
  </si>
  <si>
    <t>5.5729605294602615|12.729040532926621|6.77574557706883|3.679161845319929|2.633744917026637|2.6435169032497|2.772466835908993|2.7373105790593186|2.5624806288682276|2.2994478309256|2.8146122666635276|3.1296347674717255|2.4934470438845353|2.0251022507348524|2.313548746918994|2.573451585172039|2.8013363109587046|1.3014905113063289|0.0|</t>
  </si>
  <si>
    <t>124.0|120.0|119.0|116.0|115.0|116.0|118.0|118.0|119.0|116.0|123.0|124.0|121.0|113.0|115.0|117.0|115.0|113.0|109.0|</t>
  </si>
  <si>
    <t>428631.0|37261.0|38024.0|36915.0|35736.0|34700.0|33077.0|31360.0|29621.0|27411.0|24918.0|22733.0|20146.0|18615.0|16714.0|15066.0|4701.0|1524.0|109.0|</t>
  </si>
  <si>
    <t>35.0 &lt;-&gt; 120.0</t>
  </si>
  <si>
    <t>Cluster(s) of 2831.0  voxels is(are) detected. If more than one cluster the texture calculation is only performed on the largest cluster. (size ok &gt;= 16.0vx)</t>
  </si>
  <si>
    <t>z95.0 y336.0 x329.0</t>
  </si>
  <si>
    <t>z95.0 y359.0091840339103 x364.3115506888025</t>
  </si>
  <si>
    <t>z95.0 y348.5937892740443 x352.0597155892725</t>
  </si>
  <si>
    <t>-658.0|-658.0|-328.0|-81.0|-22.0|-19.0|-13.0|19.0|12.0|7.0|7.0|10.0|52.0|66.0|73.0|</t>
  </si>
  <si>
    <t>46.37548569410101|-48.7544757033248|41.66304347826086|65.08123249299716|66.35276967930022|63.63467492260061|61.953177257525084|63.14403292181071|59.15760869565217|66.16239316239319|69.62790697674419|81.70175438596493|85.80555555555554|83.45454545454545|81.8|</t>
  </si>
  <si>
    <t>82.4206839831728|162.6643448283414|74.0258514148521|40.47929388236476|37.30108819291367|35.46283501947896|34.177646495997486|31.30665786272779|31.73467015637373|33.878353844749284|33.380138403027935|31.148746088519232|14.059041069805193|13.186519537795451|5.114684741017768|</t>
  </si>
  <si>
    <t>198.0|197.0|198.0|172.0|184.0|186.0|171.0|168.0|158.0|152.0|140.0|137.0|108.0|118.0|88.0|</t>
  </si>
  <si>
    <t>2831|391|368|357|343|323|299|243|184|117|86|57|36|22|5|</t>
  </si>
  <si>
    <t>6.168837814331055|0.8520012664794921|0.801883544921875|0.7779141998291016|0.7474077606201172|0.7038271331787109|0.6515303802490234|0.5295046234130859|0.4009417724609375|0.2549466705322266|0.18739669799804687|0.12420478820800782|0.07844512939453124|0.047938690185546876|0.010895156860351562|</t>
  </si>
  <si>
    <t>131289.0|-19063.0|15332.0|23234.0|22759.0|20554.0|18524.0|15344.0|10885.0|7741.0|5988.0|4657.0|3089.0|1836.0|409.0|</t>
  </si>
  <si>
    <t>35.0|35.0|68.0|92.0|98.0|99.0|99.0|102.0|102.0|101.0|101.0|102.0|106.0|107.0|108.0|</t>
  </si>
  <si>
    <t>105.1939244083361|95.66751918158577|104.76902173913038|107.06722689075634|107.1690962099125|106.91640866873068|106.72575250836115|106.89711934156377|106.44565217391309|107.19658119658118|107.54651162790698|108.71929824561401|109.11111111111111|108.81818181818184|108.8|</t>
  </si>
  <si>
    <t>8.248835279521384|16.27078859074513|7.411684159925057|4.070934948815094|3.745626183923601|3.536078110371619|3.4415869529624534|3.129856215908274|3.1532044792104164|3.4299817253987737|3.401972672409095|3.099260726592785|1.3494397557212359|1.4024771473219535|0.3999999999999993|</t>
  </si>
  <si>
    <t>120.0|120.0|120.0|118.0|119.0|119.0|118.0|117.0|116.0|116.0|115.0|114.0|111.0|112.0|109.0|</t>
  </si>
  <si>
    <t>297804.0|37406.0|38555.0|38223.0|36759.0|34534.0|31911.0|25976.0|19586.0|12542.0|9249.0|6197.0|3928.0|2394.0|544.0|</t>
  </si>
  <si>
    <t>38.0 &lt;-&gt; 124.0</t>
  </si>
  <si>
    <t>Cluster(s) of 1637.0  voxels is(are) detected. If more than one cluster the texture calculation is only performed on the largest cluster. (size ok &gt;= 16.0vx)</t>
  </si>
  <si>
    <t>z96.0 y349.0 x341.0</t>
  </si>
  <si>
    <t>z96.0 y355.3689676237019 x356.35064141722665</t>
  </si>
  <si>
    <t>z96.0 y341.8912167345572 x336.5395295566769</t>
  </si>
  <si>
    <t>-625.0|-625.0|-446.0|-132.0|-20.0|-29.0|14.0|45.0|29.0|54.0|56.0|51.0|121.0|</t>
  </si>
  <si>
    <t>56.536957849725056|-39.77740863787378|42.124999999999986|71.28632478632476|74.64788732394365|76.01142857142858|83.55072463768117|101.27551020408164|106.29268292682923|114.2857142857143|126.67441860465118|145.32142857142858|161.66666666666666|</t>
  </si>
  <si>
    <t>108.97769807111213|180.24171742116943|104.26708493095992|57.54655552076746|45.551528452543614|42.97879724055686|45.04491678825044|47.66695270144435|51.26651733947779|49.26875714729369|54.13322108153162|57.88662167882796|35.03648891592243|</t>
  </si>
  <si>
    <t>235.0|219.0|219.0|198.0|205.0|211.0|230.0|232.0|235.0|222.0|229.0|209.0|210.0|</t>
  </si>
  <si>
    <t>1637|301|256|234|213|175|138|98|82|63|43|28|6|</t>
  </si>
  <si>
    <t>3.5670743560791016|0.6558884429931641|0.55783203125|0.5098933410644532|0.46413368225097656|0.3813304901123047|0.3007063293457031|0.21354507446289062|0.17868057250976563|0.1372789764404297|0.09369834899902343|0.06101287841796875|0.013074188232421876|</t>
  </si>
  <si>
    <t>92551.0|-11973.0|10784.0|16681.0|15900.0|13302.0|11530.0|9925.0|8716.0|7200.0|5447.0|4069.0|970.0|</t>
  </si>
  <si>
    <t>38.0|38.0|56.0|87.0|99.0|98.0|102.0|105.0|103.0|106.0|106.0|106.0|113.0|</t>
  </si>
  <si>
    <t>106.20830788026875|96.59468438538208|104.79687500000006|107.67948717948715|108.00469483568077|108.13142857142856|108.93478260869564|110.67346938775505|111.18292682926831|111.93650793650795|113.1860465116279|114.96428571428572|116.83333333333334|</t>
  </si>
  <si>
    <t>10.889514748960313|18.0282679008561|10.421101920352518|5.760520490217154|4.551734594379693|4.284174961651405|4.498319366902935|4.75904189938304|5.111269349241901|4.930864941907643|5.422844932378886|5.678796042278321|3.6247605284885918|</t>
  </si>
  <si>
    <t>124.0|122.0|122.0|120.0|121.0|122.0|124.0|124.0|124.0|123.0|123.0|121.0|122.0|</t>
  </si>
  <si>
    <t>173863.0|29075.0|26828.0|25197.0|23005.0|18923.0|15033.0|10846.0|9117.0|7052.0|4867.0|3219.0|701.0|</t>
  </si>
  <si>
    <t>67.0 &lt;-&gt; 122.0</t>
  </si>
  <si>
    <t>Cluster(s) of 255.0  voxels is(are) detected. If more than one cluster the texture calculation is only performed on the largest cluster. (size ok &gt;= 16.0vx)</t>
  </si>
  <si>
    <t>z97.0 y347.0 x343.0</t>
  </si>
  <si>
    <t>z97.0 y353.6941176470588 x348.7098039215686</t>
  </si>
  <si>
    <t>z97.0 y355.20262569429417 x343.96696241794706</t>
  </si>
  <si>
    <t>-339.0|-339.0|-198.0|-53.0|0.0|40.0|47.0|54.0|</t>
  </si>
  <si>
    <t>54.364705882352936|38.142857142857146|52.58928571428572|61.0625|66.9736842105263|67.23076923076923|60.46666666666667|58.5|</t>
  </si>
  <si>
    <t>86.68118465926214|140.39315059750558|82.56810539222286|43.11486897908114|26.486825764107177|15.247465595979932|7.392488680335525|4.5|</t>
  </si>
  <si>
    <t>216.0|216.0|161.0|124.0|103.0|96.0|75.0|63.0|</t>
  </si>
  <si>
    <t>255|70|56|48|38|26|15|2|</t>
  </si>
  <si>
    <t>0.5556529998779297|0.15253219604492188|0.1220257568359375|0.104593505859375|0.08280319213867188|0.05665481567382812|0.032685470581054685|0.004358062744140625|</t>
  </si>
  <si>
    <t>13863.0|2670.0|2945.0|2931.0|2545.0|1748.0|907.0|117.0|</t>
  </si>
  <si>
    <t>67.0|67.0|81.0|95.0|101.0|105.0|105.0|106.0|</t>
  </si>
  <si>
    <t>106.01960784313724|104.44285714285716|105.82142857142858|106.66666666666666|107.26315789473685|107.3076923076923|106.6|106.5|</t>
  </si>
  <si>
    <t>8.6968333116218|14.106367067276203|8.242111256176035|4.374801582802228|2.6125628728401797|1.5384615384615377|0.8000000000000008|0.5|</t>
  </si>
  <si>
    <t>122.0|122.0|117.0|113.0|111.0|110.0|108.0|107.0|</t>
  </si>
  <si>
    <t>27035.0|7311.0|5926.0|5120.0|4076.0|2790.0|1599.0|213.0|</t>
  </si>
  <si>
    <t>Wed Apr 02 17:04:26 CDT 2025</t>
  </si>
  <si>
    <t>7.0 &lt;-&gt; 204.0</t>
  </si>
  <si>
    <t>Cluster(s) of 347962.0 1.0 1.0 1.0 1.0 1.0 1.0 1.0 1.0 1.0  voxels is(are) detected. If more than one cluster the texture calculation is only performed on the largest cluster. (size ok &gt;= 64.0vx)</t>
  </si>
  <si>
    <t>z253.0 y304.0 x102.0</t>
  </si>
  <si>
    <t>z233.60743701898483 y340.57875860007704 x156.74260120357968</t>
  </si>
  <si>
    <t>z233.3350643624505 y340.51294003739054 x156.56578883100894</t>
  </si>
  <si>
    <t>-932.0|-932.0|-846.0|-692.0|-655.0|-490.0|-343.0|-305.0|-610.0|-613.0|-438.0|-261.0|-106.0|-100.0|-75.0|-93.0|-113.0|-73.0|-69.0|-73.0|-65.0|-71.0|-67.0|-66.0|-66.0|-63.0|-63.0|-60.0|-61.0|-38.0|-46.0|-36.0|-42.0|-33.0|-39.0|-33.0|-23.0|</t>
  </si>
  <si>
    <t>8.418795730568178|-29.881047572893912|13.534023763992993|19.577327470846864|18.261973125071723|17.505464863728587|16.71494840891339|16.784351041270106|16.689338356798217|16.708523044971656|14.844672897196235|13.854874563353501|12.046099720975377|9.782080594455559|8.281509810442326|6.351116155883436|5.44001695633744|4.703227371997096|5.120863712843527|4.435279187817262|4.337857142857147|3.4487435181491843|3.548736462093866|3.3026859504132187|2.780738946093277|1.9492254733218606|1.017857142857143|1.8211143695014669|3.173535791757052|4.6604361370716525|5.620553359683791|2.781420765027321|4.4579439252336455|5.567164179104477|4.6875|10.185185185185185|1.875|</t>
  </si>
  <si>
    <t>59.538363586739436|127.65477723256545|47.281555659058945|33.890445781124974|31.846198597998796|30.778212800988328|29.26584184814094|30.71448386551686|33.59378899662509|34.201221794221325|30.669226937889533|28.85714538813532|29.352200565591435|29.49865617844608|27.23102703481129|24.672605896582755|23.263381854564596|22.70646620762336|21.7189442014043|20.89141917086571|20.25738302043812|19.115087836169522|19.256987297480176|19.380629361260752|19.325272530754603|18.426530027830687|18.004950778911354|16.855265193422067|18.453912643029707|17.232692571613075|17.328216510674963|15.566753284403665|17.569770329102663|14.815506076956293|15.77069572815353|16.99899133617015|16.381678027601446|</t>
  </si>
  <si>
    <t>1036.0|1036.0|281.0|249.0|326.0|314.0|258.0|657.0|570.0|661.0|571.0|289.0|343.0|419.0|415.0|205.0|239.0|245.0|109.0|107.0|105.0|101.0|96.0|102.0|64.0|59.0|50.0|57.0|59.0|64.0|55.0|42.0|46.0|38.0|35.0|50.0|29.0|</t>
  </si>
  <si>
    <t>347962|49524|46541|41848|34828|28546|23066|18391|15129|12519|10700|9447|8243|6998|6014|5286|4718|4121|3566|3152|2800|2507|2216|1936|1651|1162|896|682|461|321|253|183|107|67|48|27|8|</t>
  </si>
  <si>
    <t>658.3859851684571|93.70536877441407|88.06117373657227|79.18145288085938|65.89876794433594|54.01246783447266|43.643648254394535|34.79798556518555|28.625888946533202|23.687454803466796|20.245687866210936|17.874861053466798|15.596748138427735|13.24105828857422|11.379211853027345|10.00174822998047|8.927023864746094|7.7974280090332035|6.7473012084960935|5.96396337890625|5.29793701171875|4.74354574584961|4.192938720703125|3.66314501953125|3.1238907165527343|2.198643859863281|1.69533984375|1.2904260864257813|0.8722674865722656|0.6073706359863281|0.47870645141601564|0.3462580261230469|0.20245687866210937|0.12677206420898438|0.09082177734375|0.051087249755859376|0.015136962890625|</t>
  </si>
  <si>
    <t>2929421.0|-1479829.0|629887.0|819272.0|636028.0|499711.0|385547.0|308681.0|252493.0|209174.0|158838.0|130887.0|99296.0|68455.0|49805.0|33572.0|25666.0|19382.0|18261.0|13980.0|12146.0|8646.0|7864.0|6394.0|4591.0|2265.0|912.0|1242.0|1463.0|1496.0|1422.0|509.0|477.0|373.0|225.0|275.0|15.0|</t>
  </si>
  <si>
    <t>7.0|7.0|16.0|31.0|35.0|52.0|66.0|70.0|40.0|39.0|57.0|74.0|90.0|91.0|93.0|91.0|89.0|93.0|94.0|93.0|94.0|93.0|94.0|94.0|94.0|94.0|94.0|95.0|94.0|97.0|96.0|97.0|96.0|97.0|97.0|97.0|98.0|</t>
  </si>
  <si>
    <t>101.39061449238503|97.56136418705981|101.90187146816781|102.5064280252339|102.3735213046981|102.30130315981151|102.22106130234958|102.22668696645157|102.21766144490715|102.21774902148726|102.03299065420529|101.93246533291028|101.75979619070725|101.52657902257802|101.37861656135689|101.18444948921704|101.09114031369202|101.01383159427336|101.06561974200784|100.98921319796946|100.97928571428596|100.89788591942555|100.88989169675096|100.88171487603319|100.83101150817677|100.73666092943199|100.64285714285711|100.72140762463344|100.86984815618221|100.99688473520256|101.08300395256921|100.84699453551919|101.00934579439253|101.05970149253734|101.08333333333331|101.62962962962963|100.75|</t>
  </si>
  <si>
    <t>5.960724715324884|12.767903294587196|4.7381598680318255|3.401311886571567|3.198982074674918|3.092002754106797|2.9401956079947236|3.087842173967302|3.373153398285533|3.4335569802783117|3.074637799488496|2.9026203906197274|2.942210933126484|2.964266472821248|2.736483549459056|2.4878502249098955|2.3453800277544046|2.2952538308018076|2.1872934550591614|2.10040131293018|2.042302497133048|1.9344935191562005|1.9549453137124195|1.958493990823754|1.9555713652268136|1.8732233681343062|1.8193265181357183|1.6939894818545795|1.8514172851975526|1.7302484693044027|1.763997567729817|1.6156946212882384|1.7641037919684468|1.5050224078752827|1.5656911856713327|1.7245106261959737|1.7139136501002605|</t>
  </si>
  <si>
    <t>204.0|204.0|129.0|125.0|133.0|132.0|126.0|166.0|158.0|167.0|158.0|129.0|135.0|142.0|142.0|121.0|124.0|125.0|111.0|111.0|111.0|111.0|110.0|111.0|107.0|106.0|106.0|106.0|106.0|107.0|106.0|105.0|105.0|104.0|104.0|106.0|103.0|</t>
  </si>
  <si>
    <t>3.5280081E7|4831629.0|4742615.0|4289689.0|3565465.0|2920293.0|2357831.0|1880051.0|1546451.0|1279664.0|1091753.0|962956.0|838806.0|710483.0|609691.0|534861.0|476948.0|416278.0|360400.0|318318.0|282742.0|252951.0|223572.0|195307.0|166472.0|117056.0|90176.0|68692.0|46501.0|32420.0|25574.0|18455.0|10808.0|6771.0|4852.0|2744.0|806.0|</t>
  </si>
  <si>
    <t>Wed Apr 02 17:05:55 CDT 2025</t>
  </si>
  <si>
    <t>1.0 &lt;-&gt; 158.0</t>
  </si>
  <si>
    <t>Cluster(s) of 27987.0 16720.0 1.0 2.0  voxels is(are) detected. If more than one cluster the texture calculation is only performed on the largest cluster. (size ok &gt;= 64.0vx)</t>
  </si>
  <si>
    <t>z222.0 y285.0 x208.0</t>
  </si>
  <si>
    <t>z228.0270482724122 y281.17268731911247 x187.10054668238826</t>
  </si>
  <si>
    <t>z228.03841994409922 y280.9801537375653 x187.1590062583935</t>
  </si>
  <si>
    <t>-1024.0|-883.0|-772.0|-746.0|-669.0|-1009.0|-1024.0|-1009.0|-915.0|-709.0|-463.0|28.0|18.0|25.0|34.0|27.0|</t>
  </si>
  <si>
    <t>54.31603958980939|2.1384896189824323|53.573105134474304|65.93502750851457|66.22847399829506|65.94435351882173|63.72559055118111|62.39190476190473|64.90596745027142|69.99719101123596|72.43185078909619|77.88065843621395|75.09210526315793|70.70175438596488|69.97435897435894|71.55000000000001|</t>
  </si>
  <si>
    <t>90.5529634956013|154.10317332975077|81.33503207674636|63.065007332190966|55.608019774907966|63.91571920945285|77.70399045432137|86.82797569354327|73.52615888470517|51.343841568546004|46.876145807707815|21.266343421693932|20.563238552776482|19.028109319912765|18.39173055463282|19.56648920987104|</t>
  </si>
  <si>
    <t>571.0|306.0|426.0|520.0|571.0|551.0|493.0|359.0|149.0|147.0|157.0|154.0|129.0|113.0|121.0|103.0|</t>
  </si>
  <si>
    <t>27987|4383|4090|3817|3519|3055|2540|2100|1659|1068|697|486|304|171|78|20|</t>
  </si>
  <si>
    <t>25.120869163513184|3.934139762878418|3.6711457061767576|3.4261034622192383|3.158621452331543|2.7421393966674805|2.2798802185058595|1.8849403381347656|1.4891028671264648|0.9586268005371094|0.6256206741333008|0.43622904968261716|0.2728675537109375|0.15348799896240234|0.07001206970214843|0.017951812744140625|</t>
  </si>
  <si>
    <t>1520143.0|9373.0|219114.0|251674.0|233058.0|201460.0|161863.0|131023.0|107679.0|74757.0|50485.0|37850.0|22828.0|12090.0|5458.0|1431.0|</t>
  </si>
  <si>
    <t>1.0|12.0|23.0|26.0|34.0|1.0|1.0|1.0|9.0|30.0|54.0|103.0|102.0|103.0|104.0|103.0|</t>
  </si>
  <si>
    <t>105.98495730160464|100.75998174766141|105.90684596577029|107.15326172386719|107.17902813299224|107.14402618657945|106.93149606299207|106.80809523809523|107.04581072935501|107.53558052434464|107.78766140602585|108.34567901234566|108.05592105263156|107.61403508771927|107.55128205128206|107.74999999999999|</t>
  </si>
  <si>
    <t>9.056483324109726|15.417599456018001|8.142008371465646|6.31550486921578|5.56776977998194|6.386478875827649|7.726019039760413|8.67826135705798|7.346439534247938|5.127005676787177|4.713084124310644|2.1487511570274966|2.1011035180988378|1.9232743701465012|1.8511772823539836|2.070627924084871|</t>
  </si>
  <si>
    <t>158.0|131.0|143.0|153.0|158.0|156.0|150.0|136.0|115.0|115.0|116.0|116.0|113.0|112.0|113.0|111.0|</t>
  </si>
  <si>
    <t>2966201.0|441631.0|433159.0|409004.0|377163.0|327325.0|271606.0|224297.0|177589.0|114848.0|75128.0|52656.0|32849.0|18402.0|8389.0|2155.0|</t>
  </si>
  <si>
    <t>Wed Apr 02 17:06:19 CDT 2025</t>
  </si>
  <si>
    <t>44.0 &lt;-&gt; 174.0</t>
  </si>
  <si>
    <t>Cluster(s) of 100470.0  voxels is(are) detected. If more than one cluster the texture calculation is only performed on the largest cluster. (size ok &gt;= 64.0vx)</t>
  </si>
  <si>
    <t>z81.0 y317.0 x224.0</t>
  </si>
  <si>
    <t>z72.7668955907236 y282.6983975316015 x211.37036926445705</t>
  </si>
  <si>
    <t>z72.75148715142939 y282.48589875869914 x211.3211310692768</t>
  </si>
  <si>
    <t>-563.0|-563.0|-186.0|-80.0|-114.0|-123.0|-120.0|-103.0|-146.0|-211.0|-131.0|-98.0|-81.0|-82.0|-72.0|-65.0|-79.0|-81.0|-51.0|-46.0|-38.0|-43.0|-32.0|-39.0|-24.0|-39.0|-31.0|-18.0|-28.0|2.0|-11.0|26.0|31.0|</t>
  </si>
  <si>
    <t>62.2154075843535|28.372420490410324|62.73527171152878|68.0136496156907|66.78674431503059|65.43135806117918|65.12761241291939|65.27176691088756|64.60588776448928|63.99483101391628|64.44356223175974|65.38370197904551|65.4674796747968|65.70697288323213|65.45353047676544|66.21765096217644|65.89526276831972|65.63337443485425|66.58565555047946|65.63786859803423|64.13816925734022|64.66888740839453|64.28446215139445|62.659553831231854|62.9062119366626|61.840510366826194|60.90574712643682|63.392617449664456|63.43076923076924|64.75892857142856|71.02083333333337|74.43478260869566|47.875|</t>
  </si>
  <si>
    <t>42.555282945711966|87.63778068720987|44.291747459677104|38.824647403035|36.51898360744856|35.063635422062156|33.83695760367017|33.06263394111855|33.45294464397162|33.06546872177273|32.19449396073428|31.682540772289492|31.635065950824288|31.177272579230124|31.112064773006924|30.856062982015455|31.346759066664397|30.732989340182353|30.08680292387546|29.69749631076844|29.25236941702691|28.42928317656564|30.453405687013234|29.431989422273606|29.968431996767052|28.77792800757869|28.795159859572824|30.033709459326083|26.999127752730892|26.019651068167374|26.3750905080069|24.79625863601292|11.558952158392213|</t>
  </si>
  <si>
    <t>738.0|738.0|265.0|267.0|245.0|204.0|197.0|196.0|194.0|188.0|193.0|164.0|193.0|193.0|175.0|201.0|188.0|183.0|173.0|163.0|160.0|188.0|177.0|194.0|205.0|180.0|155.0|162.0|140.0|126.0|130.0|129.0|69.0|</t>
  </si>
  <si>
    <t>100470|8238|7876|7546|7212|6767|6316|5869|5435|5030|4660|4295|3936|3614|3314|3014|2702|2433|2189|1933|1737|1501|1255|1031|821|627|435|298|195|112|48|23|8|</t>
  </si>
  <si>
    <t>115.54103656768798|9.473743995666505|9.05744206237793|8.677940299987792|8.293838516235352|7.782086139678955|7.263433731079101|6.749381343841553|6.250279026031494|5.784526863098145|5.359024887084961|4.939272937774658|4.526421020507812|4.156119300842285|3.8111176986694337|3.466116096496582|3.1073144302368165|2.797962993621826|2.5173616905212404|2.2229603233337403|1.9975592765808106|1.726158016204834|1.4432567024230958|1.1856555061340333|0.9441543846130371|0.7210533485412598|0.5002523231506347|0.3427015914916992|0.22425104141235352|0.12880059814453124|0.05520025634765625|0.026450122833251953|0.009200042724609375|</t>
  </si>
  <si>
    <t>6250782.0|233732.0|494103.0|513231.0|481666.0|442774.0|411346.0|383080.0|351133.0|321894.0|300307.0|280823.0|257680.0|237465.0|216913.0|199580.0|178049.0|159686.0|145756.0|126878.0|111408.0|97068.0|80677.0|64602.0|51646.0|38774.0|26494.0|18891.0|12369.0|7253.0|3409.0|1712.0|383.0|</t>
  </si>
  <si>
    <t>44.0|44.0|82.0|93.0|89.0|88.0|89.0|90.0|86.0|79.0|87.0|91.0|92.0|92.0|93.0|94.0|93.0|92.0|95.0|96.0|97.0|96.0|97.0|97.0|98.0|97.0|97.0|99.0|98.0|101.0|99.0|103.0|104.0|</t>
  </si>
  <si>
    <t>106.76999104210357|103.38722991017245|106.82173692229547|107.34958918632434|107.22254575707186|107.09117777449352|107.05731475617502|107.07837791787327|107.00956761729515|106.945725646123|106.98905579399161|107.08963911525049|107.10111788617915|107.12340896513547|107.09565479782741|107.16522893165255|107.13434492968156|107.11755034936296|107.20968478757426|107.12053802379714|106.96545768566503|107.01332445036645|106.97051792828684|106.8118331716781|106.83069427527393|106.73365231259976|106.62758620689665|106.89932885906045|106.91794871794868|107.08035714285715|107.60416666666667|107.95652173913045|105.375|</t>
  </si>
  <si>
    <t>4.265032458390585|8.770195620368886|4.438218158954446|3.894918838003626|3.668036867589268|3.5191373048022903|3.3966989353051877|3.319935348821938|3.3572753245948532|3.318487975811383|3.2311002738571344|3.181161404121981|3.1807728343126285|3.124468282447662|3.1144279192266016|3.0846127950792175|3.148098293961017|3.08639674748637|3.0166853406128267|2.987897180376949|2.9368646765662905|2.8551219226505298|3.0449369069993666|2.95020024888833|3.0021239952172296|2.892138587270857|2.902107425119918|3.0294858944166037|2.7369149574931333|2.625895741242891|2.635807777302604|2.386160475480389|1.1110243021644468|</t>
  </si>
  <si>
    <t>174.0|174.0|127.0|127.0|125.0|121.0|120.0|120.0|120.0|119.0|120.0|117.0|120.0|120.0|118.0|121.0|119.0|119.0|118.0|117.0|117.0|119.0|118.0|120.0|121.0|119.0|116.0|117.0|115.0|113.0|114.0|113.0|107.0|</t>
  </si>
  <si>
    <t>1.0727181E7|851704.0|841328.0|810060.0|773289.0|724686.0|676174.0|628443.0|581597.0|537937.0|498569.0|459950.0|421550.0|387144.0|354915.0|322996.0|289477.0|260617.0|234682.0|207064.0|185799.0|160627.0|134248.0|110123.0|87708.0|66922.0|46383.0|31856.0|20849.0|11993.0|5165.0|2483.0|843.0|</t>
  </si>
  <si>
    <t>Wed Apr 02 17:06:45 CDT 2025</t>
  </si>
  <si>
    <t>59.0 &lt;-&gt; 111.0</t>
  </si>
  <si>
    <t>Cluster(s) of 1373.0 769.0 3755.0  voxels is(are) detected. If more than one cluster the texture calculation is only performed on the largest cluster. (size ok &gt;= 64.0vx)</t>
  </si>
  <si>
    <t>z69.0 y203.0 x171.0</t>
  </si>
  <si>
    <t>z68.00772303595207 y190.6785619174434 x178.13954727030625</t>
  </si>
  <si>
    <t>z68.01943605466002 y190.71607184514187 x178.05258450839898</t>
  </si>
  <si>
    <t>-416.0|-416.0|-103.0|-69.0|-49.0|-40.0|-22.0|-15.0|-11.0|-17.0|-7.0|-13.0|</t>
  </si>
  <si>
    <t>16.66604527296932|-25.80559085133419|32.206997084548135|31.27759197324415|27.50198412698412|24.34577114427861|24.72607260726073|25.193693693693703|23.035971223021573|18.26582278481013|21.382352941176475|-13.0|</t>
  </si>
  <si>
    <t>43.64568399316224|68.90128156663778|32.54574279043777|23.54650702043967|21.184937653078606|18.43011121859319|14.516209674755359|14.43604584676705|13.870111788848105|12.997281956127434|13.913630020451915|0.0|</t>
  </si>
  <si>
    <t>106.0|98.0|106.0|103.0|78.0|77.0|69.0|80.0|58.0|48.0|55.0|-13.0|</t>
  </si>
  <si>
    <t>3755|787|686|598|504|402|303|222|139|79|34|1|</t>
  </si>
  <si>
    <t>5.476810398101807|1.1478694496154784|1.0005571060180665|0.8722057571411133|0.7351031799316406|0.5863322982788086|0.44193703079223634|0.32379544830322265|0.20273678970336914|0.11522450637817383|0.049590293884277346|0.0014585380554199218|</t>
  </si>
  <si>
    <t>62581.0|-20309.0|22094.0|18704.0|13861.0|9787.0|7492.0|5593.0|3202.0|1443.0|727.0|-13.0|</t>
  </si>
  <si>
    <t>59.0|59.0|90.0|94.0|96.0|97.0|98.0|99.0|99.0|99.0|100.0|99.0|</t>
  </si>
  <si>
    <t>102.21091877496676|97.97204574332906|103.75364431486884|103.67892976588627|103.28769841269835|102.97512437810946|103.01320132013204|103.04504504504506|102.87050359712231|102.37974683544303|102.79411764705883|99.0|</t>
  </si>
  <si>
    <t>4.369576221967165|6.895055131654536|3.2440494727053433|2.373330962580529|2.150712197543907|1.8512811509743656|1.5111763986990578|1.4819477528290546|1.4335875026258087|1.3149943203261345|1.3885966628368096|0.0|</t>
  </si>
  <si>
    <t>111.0|110.0|111.0|111.0|108.0|108.0|107.0|109.0|106.0|105.0|106.0|99.0|</t>
  </si>
  <si>
    <t>383802.0|77104.0|71175.0|62000.0|52057.0|41396.0|31213.0|22876.0|14299.0|8088.0|3495.0|99.0|</t>
  </si>
  <si>
    <t>Wed Apr 02 17:07:33 CDT 2025</t>
  </si>
  <si>
    <t>79.0 &lt;-&gt; 145.0</t>
  </si>
  <si>
    <t>Cluster(s) of 146231.0  voxels is(are) detected. If more than one cluster the texture calculation is only performed on the largest cluster. (size ok &gt;= 64.0vx)</t>
  </si>
  <si>
    <t>z89.0 y350.0 x310.0</t>
  </si>
  <si>
    <t>z91.0188605699202 y335.99283325697013 x356.1030356080448</t>
  </si>
  <si>
    <t>z91.02605745399015 y335.89082964163936 x355.3149659287316</t>
  </si>
  <si>
    <t>-219.0|-219.0|-163.0|-165.0|-89.0|-62.0|-4.0|-12.0|-11.0|-50.0|-29.0|-39.0|-23.0|-3.0|-33.0|-108.0|-97.0|-10.0|-3.0|-7.0|-9.0|-12.0|-6.0|-6.0|-7.0|-7.0|-5.0|-7.0|13.0|25.0|29.0|25.0|32.0|29.0|28.0|24.0|38.0|43.0|</t>
  </si>
  <si>
    <t>65.54567772907284|50.6214694315337|59.442644953471664|65.09206902882345|67.45419158834125|68.47990353697676|68.55670883338728|68.13348973607049|68.080661577608|68.12334679103442|68.69290263876277|68.70315581854052|68.56005685856408|68.336475567526|68.45288178376093|68.12783171521063|68.01571609632451|68.33210017074563|68.00000000000003|67.04800853485068|65.88592233009719|64.12288930581613|63.43528761061941|63.64013157894732|63.07393292682934|62.03568242640497|61.93008474576281|62.260930888575494|64.44399185336049|64.32522796352583|61.916996047430814|61.727272727272734|65.86075949367087|67.23958333333333|58.163636363636364|51.19354838709677|53.421052631578945|51.42857142857142|</t>
  </si>
  <si>
    <t>26.630277082381852|40.28074067879059|29.597020909049075|26.398700279068596|24.50226274955496|23.77815639476912|23.575507929619935|22.89319864341214|22.753259030496697|22.776241235065005|22.674555023921272|22.693292385589974|22.749597576756653|23.108225660085708|23.896565541124197|25.19185885244274|25.813364581687747|26.261726324103723|26.715704910948705|26.732158398081612|26.134437643565686|25.264378840196972|24.644333170921936|24.146784573641355|23.501489128125566|23.4065525395507|23.678804653599517|23.27940086501695|22.60531856095587|21.24872251535746|19.845177122109277|20.90436809570296|27.136660325109737|30.50742559596033|21.497368664655966|12.251186525390786|7.043592007324883|6.9045976991968985|</t>
  </si>
  <si>
    <t>448.0|448.0|201.0|207.0|210.0|181.0|205.0|203.0|188.0|161.0|169.0|171.0|158.0|161.0|166.0|185.0|189.0|202.0|194.0|179.0|169.0|161.0|151.0|148.0|136.0|138.0|132.0|132.0|130.0|138.0|153.0|167.0|172.0|164.0|141.0|71.0|68.0|64.0|</t>
  </si>
  <si>
    <t>146231|11188|11176|10894|10533|9952|9249|8525|7860|7183|6594|6084|5628|5198|4754|4326|3945|3514|3150|2812|2472|2132|1808|1520|1312|1121|944|709|491|329|253|209|158|96|55|31|19|7|</t>
  </si>
  <si>
    <t>290.9876632499695|22.26319984436035|22.239320831298826|21.678164024353027|20.959803714752198|19.803661499023438|18.40474931716919|16.964048862457275|15.640753555297852|14.293579235076905|13.121517677307128|12.106659622192383|11.199257125854492|10.343592491149902|9.460069007873535|8.6083842086792|7.85022554397583|6.992570991516113|6.268240928649902|5.595648727416992|4.919076690673828|4.242504653930664|3.5977713012695314|3.024674987792969|2.6107720947265625|2.2306978034973146|1.8784823608398438|1.4108516883850097|0.977049617767334|0.6546829414367675|0.5034491920471191|0.4158928108215332|0.3144070053100586|0.1910321044921875|0.10944547653198242|0.06168745040893555|0.037808437347412106|0.013929424285888671|</t>
  </si>
  <si>
    <t>9584810.0|566353.0|664331.0|709113.0|710495.0|681512.0|634081.0|580838.0|535114.0|489330.0|452961.0|417990.0|385856.0|355213.0|325425.0|294721.0|268322.0|240119.0|214200.0|188539.0|162870.0|136710.0|114691.0|96733.0|82753.0|69542.0|58462.0|44143.0|31642.0|21163.0|15665.0|12901.0|10406.0|6455.0|3199.0|1587.0|1015.0|360.0|</t>
  </si>
  <si>
    <t>79.0|79.0|84.0|84.0|92.0|94.0|100.0|99.0|99.0|96.0|98.0|97.0|98.0|100.0|97.0|90.0|91.0|100.0|100.0|100.0|100.0|99.0|100.0|100.0|100.0|100.0|100.0|100.0|102.0|103.0|103.0|103.0|104.0|103.0|103.0|103.0|104.0|105.0|</t>
  </si>
  <si>
    <t>107.10451272301945|105.61378262423982|106.49883679312822|107.06590783917744|107.30105383081721|107.3922829581993|107.40555735755176|107.3690322580645|107.35432569974554|107.3605735765001|107.41568092205034|107.42291255752822|107.40120824449185|107.37533666794928|107.39103912494735|107.35598705501634|107.35031685678064|107.38275469550354|107.345396825397|107.25284495021329|107.13794498381863|106.96200750469043|106.8932522123893|106.9217105263159|106.84603658536591|106.76271186440674|106.74470338983056|106.77291960507753|107.00610997963341|106.99392097264436|106.71146245059285|106.688995215311|107.13924050632912|107.25000000000004|106.3636363636364|105.70967741935485|105.78947368421052|105.71428571428571|</t>
  </si>
  <si>
    <t>2.677702757998504|4.039293004960078|2.972613978517043|2.655770882494893|2.464065453868678|2.3929350589729865|2.3759015190221433|2.312506467072003|2.292098467565015|2.3003039717317053|2.2817742151227107|2.285032840125897|2.287215783079588|2.331704223639704|2.4080943587457764|2.538823828033524|2.5969594243935483|2.639839410966831|2.6819921672866074|2.692993598880713|2.629029559392148|2.5351120227809942|2.475811934063058|2.4172738495200408|2.356377469581074|2.361768293049825|2.3800622937628977|2.3388664500977367|2.2847148476235093|2.128106770198718|2.0097949464686495|2.114865010900504|2.738539651560548|3.0652623596249176|2.1939059096724884|1.249349466518523|0.7663273567663712|0.6998542122237642|</t>
  </si>
  <si>
    <t>145.0|145.0|121.0|121.0|122.0|119.0|121.0|121.0|119.0|117.0|117.0|118.0|116.0|117.0|117.0|119.0|119.0|121.0|120.0|118.0|117.0|117.0|116.0|115.0|114.0|114.0|114.0|114.0|114.0|114.0|116.0|117.0|118.0|117.0|115.0|108.0|107.0|107.0|</t>
  </si>
  <si>
    <t>1.5662E7|1181607.0|1190231.0|1166376.0|1130202.0|1068768.0|993394.0|915321.0|843805.0|771171.0|708299.0|653561.0|604454.0|558137.0|510537.0|464422.0|423497.0|377343.0|338138.0|301595.0|264845.0|228043.0|193263.0|162521.0|140182.0|119681.0|100767.0|75702.0|52540.0|35201.0|26998.0|22298.0|16928.0|10296.0|5850.0|3277.0|2010.0|740.0|</t>
  </si>
  <si>
    <t>Wed Apr 02 17:08:05 CDT 2025</t>
  </si>
  <si>
    <t>8_Soft Tissue_CT</t>
  </si>
  <si>
    <t>74.0 &lt;-&gt; 132.0</t>
  </si>
  <si>
    <t>Cluster(s) of 3691.0 3435.0  voxels is(are) detected. If more than one cluster the texture calculation is only performed on the largest cluster. (size ok &gt;= 64.0vx)</t>
  </si>
  <si>
    <t>z75.0 y219.0 x206.0</t>
  </si>
  <si>
    <t>z74.48117041452181 y209.72365212679492 x195.19967488485506</t>
  </si>
  <si>
    <t>z74.44662688482515 y209.7222277831248 x195.42574954550315</t>
  </si>
  <si>
    <t>-267.0|-267.0|-120.0|-15.0|-3.0|-7.0|2.0|5.0|18.0|45.0|</t>
  </si>
  <si>
    <t>49.6824708751016|51.235572374645244|51.175223214285715|46.524861878452995|45.42244897959183|49.35094339622644|53.23913043478262|58.40579710144927|57.074999999999996|57.50000000000001|</t>
  </si>
  <si>
    <t>30.218314540925174|43.2474163208428|25.911669365850894|21.562339037310576|20.44752133380418|20.755573224190186|20.48313351672898|21.271412973093156|18.92404224789197|13.536986370680884|</t>
  </si>
  <si>
    <t>313.0|313.0|206.0|111.0|114.0|103.0|97.0|104.0|98.0|96.0|</t>
  </si>
  <si>
    <t>3691|1057|896|724|490|265|138|69|40|12|</t>
  </si>
  <si>
    <t>3.02957568359375|0.86758642578125|0.7354375|0.594259765625|0.4021923828125|0.21751220703125|0.1132705078125|0.05663525390625|0.03283203125|0.009849609375|</t>
  </si>
  <si>
    <t>183378.0|54156.0|45853.0|33684.0|22257.0|13078.0|7347.0|4030.0|2283.0|690.0|</t>
  </si>
  <si>
    <t>74.0|74.0|89.0|99.0|100.0|100.0|101.0|101.0|102.0|105.0|</t>
  </si>
  <si>
    <t>105.51639122189103|105.68495742667916|105.65624999999993|105.20027624309395|105.08367346938783|105.47924528301893|105.86956521739127|106.39130434782608|106.24999999999997|106.25|</t>
  </si>
  <si>
    <t>3.032817804277209|4.332676094637657|2.6002500309036156|2.182919614927841|2.06208206044037|2.0887261162950126|2.0102133672768616|2.1549901059280443|1.9202864369671517|1.4215601757693308|</t>
  </si>
  <si>
    <t>132.0|132.0|121.0|112.0|112.0|111.0|110.0|111.0|110.0|110.0|</t>
  </si>
  <si>
    <t>389461.0|111709.0|94668.0|76165.0|51491.0|27952.0|14610.0|7341.0|4250.0|1275.0|</t>
  </si>
  <si>
    <t>Wed Apr 02 17:08:55 CDT 2025</t>
  </si>
  <si>
    <t>10_Soft Tissue_CT</t>
  </si>
  <si>
    <t>50.0 &lt;-&gt; 118.0</t>
  </si>
  <si>
    <t>Cluster(s) of 7786.0  voxels is(are) detected. If more than one cluster the texture calculation is only performed on the largest cluster. (size ok &gt;= 64.0vx)</t>
  </si>
  <si>
    <t>z72.0 y369.0 x327.0</t>
  </si>
  <si>
    <t>z68.76123811970203 y345.3968661700488 x341.5041099409196</t>
  </si>
  <si>
    <t>z68.78273228765329 y345.3854738082698 x341.25078428411905</t>
  </si>
  <si>
    <t>-507.0|-507.0|-137.0|-153.0|-146.0|-90.0|-59.0|-69.0|-24.0|-13.0|-31.0|-26.0|14.0|37.0|</t>
  </si>
  <si>
    <t>26.33072180837412|-15.678742310321239|30.61046057767371|36.88464951197869|36.750261233019884|37.79305912596405|37.20414673046251|37.88157894736843|37.16541353383457|36.48788927335639|39.53488372093022|40.711340206185575|46.24074074074074|49.5|</t>
  </si>
  <si>
    <t>47.86376037326711|75.57752583995298|40.33906469393105|34.153354820028795|31.679549363811013|27.165580126293033|27.016914461410146|26.268836402246244|22.232372855227396|20.291321854518415|25.169748210629347|21.0100411747005|18.11070400208957|9.635870484808313|</t>
  </si>
  <si>
    <t>179.0|179.0|156.0|151.0|142.0|113.0|124.0|114.0|113.0|86.0|107.0|108.0|90.0|67.0|</t>
  </si>
  <si>
    <t>7786|1463|1281|1127|957|778|627|532|399|289|172|97|54|10|</t>
  </si>
  <si>
    <t>8.562865447998046|1.608974075317383|1.4088146209716796|1.2394489288330077|1.0524868011474608|0.8556266784667969|0.6895603179931641|0.5850814819335938|0.4388111114501953|0.3178356170654297|0.18916168212890624|0.10667839050292968|0.05938796997070313|0.010997772216796875|</t>
  </si>
  <si>
    <t>205011.0|-22938.0|39212.0|41569.0|35170.0|29403.0|23327.0|20153.0|14829.0|10545.0|6800.0|3949.0|2497.0|495.0|</t>
  </si>
  <si>
    <t>50.0|50.0|87.0|85.0|86.0|92.0|95.0|94.0|98.0|99.0|97.0|98.0|102.0|104.0|</t>
  </si>
  <si>
    <t>103.18314924222929|98.97676008202338|103.61670569867292|104.23957409050571|104.22361546499465|104.34190231362462|104.27272727272724|104.33270676691723|104.2656641604011|104.19723183391005|104.47674418604649|104.60824742268039|105.16666666666667|105.5|</t>
  </si>
  <si>
    <t>4.7910733039288225|7.54893852758289|4.04780204600333|3.4300352718149716|3.1758207276449184|2.7183689122627532|2.7239746139693857|2.629399607795094|2.233174123115818|2.0375011711352693|2.5482631758962775|2.122810338347836|1.8831612507420314|0.9219544457292882|</t>
  </si>
  <si>
    <t>118.0|118.0|116.0|116.0|115.0|112.0|113.0|112.0|112.0|109.0|111.0|111.0|110.0|107.0|</t>
  </si>
  <si>
    <t>803384.0|144803.0|132733.0|117478.0|99742.0|81178.0|65379.0|55505.0|41602.0|30113.0|17970.0|10147.0|5679.0|1055.0|</t>
  </si>
  <si>
    <t>Wed Apr 02 17:09:22 CDT 2025</t>
  </si>
  <si>
    <t>24.0 &lt;-&gt; 114.0</t>
  </si>
  <si>
    <t>Cluster(s) of 3046.0 4229.0 350.0  voxels is(are) detected. If more than one cluster the texture calculation is only performed on the largest cluster. (size ok &gt;= 64.0vx)</t>
  </si>
  <si>
    <t>z109.0 y234.0 x179.0</t>
  </si>
  <si>
    <t>z109.85481201229605 y247.65192716954363 x147.6897611728541</t>
  </si>
  <si>
    <t>z109.84050932601785 y247.2496099573442 x147.40935659180116</t>
  </si>
  <si>
    <t>-762.0|-762.0|-657.0|-498.0|-378.0|-326.0|-327.0|-338.0|-436.0|-364.0|-201.0|-123.0|-96.0|1.0|</t>
  </si>
  <si>
    <t>-25.711988649799043|-73.21897810218987|-22.567839195979904|-6.546875000000007|-8.92897196261682|-10.002475247524753|-9.295819935691314|-5.129807692307689|-12.156250000000002|-28.302325581395355|-16.703125|4.7647058823529385|22.81818181818182|33.857142857142854|</t>
  </si>
  <si>
    <t>91.5093416691208|131.89055252858978|82.41957658149941|60.73531964791472|64.9678180711377|59.63579639524346|58.589716967190995|62.6925301951573|97.21427987151633|90.75024117687754|62.55089919604973|50.69887581817985|38.3425189617294|11.425892543174177|</t>
  </si>
  <si>
    <t>139.0|125.0|94.0|119.0|139.0|135.0|53.0|54.0|52.0|49.0|47.0|48.0|52.0|46.0|</t>
  </si>
  <si>
    <t>4229|959|796|640|535|404|311|208|128|86|64|51|33|14|</t>
  </si>
  <si>
    <t>8.003664493560791|1.8149714469909668|1.5064830780029297|1.21124267578125|1.0125231742858887|0.7645969390869141|0.5885882377624512|0.39365386962890625|0.24224853515625|0.16276073455810547|0.121124267578125|0.09652090072631836|0.0624547004699707|0.026495933532714844|</t>
  </si>
  <si>
    <t>-108736.0|-70217.0|-17964.0|-4190.0|-4777.0|-4041.0|-2891.0|-1067.0|-1556.0|-2434.0|-1069.0|243.0|753.0|474.0|</t>
  </si>
  <si>
    <t>24.0|24.0|35.0|51.0|63.0|68.0|68.0|67.0|57.0|64.0|80.0|88.0|91.0|101.0|</t>
  </si>
  <si>
    <t>97.96831402222746|93.22836287799788|98.28391959798999|99.87656250000002|99.65233644859805|99.52970297029702|99.60128617363345|100.02403846153845|99.28124999999999|97.70930232558136|98.89062500000003|100.99999999999997|102.87878787878788|104.0|</t>
  </si>
  <si>
    <t>9.152419887849042|13.184144921039685|8.266435902261552|6.09472728541596|6.483240014303347|5.964964451014975|5.879978423066295|6.262249460554333|9.696115120887333|9.073173182865721|6.235275624170516|5.029325764658602|3.8356981566520565|1.1338934190276784|</t>
  </si>
  <si>
    <t>114.0|113.0|110.0|112.0|114.0|114.0|106.0|106.0|106.0|105.0|105.0|105.0|106.0|105.0|</t>
  </si>
  <si>
    <t>414308.0|89406.0|78234.0|63921.0|53314.0|40210.0|30976.0|20805.0|12708.0|8403.0|6329.0|5151.0|3395.0|1456.0|</t>
  </si>
  <si>
    <t>Wed Apr 02 17:09:56 CDT 2025</t>
  </si>
  <si>
    <t>9_Flash PE_CT</t>
  </si>
  <si>
    <t>43.0 &lt;-&gt; 123.0</t>
  </si>
  <si>
    <t>Cluster(s) of 139.0 212.0 608.0  voxels is(are) detected. If more than one cluster the texture calculation is only performed on the largest cluster. (size ok &gt;= 64.0vx)</t>
  </si>
  <si>
    <t>z143.0 y269.0 x174.0</t>
  </si>
  <si>
    <t>z141.375 y269.0279605263158 x168.07401315789474</t>
  </si>
  <si>
    <t>z141.39634511918945 y269.03242004948225 x168.1219384482465</t>
  </si>
  <si>
    <t>-571.0|-571.0|-23.0|3.0|-34.0|-26.0|</t>
  </si>
  <si>
    <t>57.215460526315766|32.39285714285714|86.42285714285714|72.92173913043479|50.56140350877193|25.77777777777778|</t>
  </si>
  <si>
    <t>73.96196985381297|102.12414844203764|31.361733604727224|28.430586048521434|36.67257570114866|36.070233273366306|</t>
  </si>
  <si>
    <t>227.0|227.0|155.0|121.0|107.0|76.0|</t>
  </si>
  <si>
    <t>608|252|175|115|57|9|</t>
  </si>
  <si>
    <t>0.426177978515625|0.17663955688476562|0.1226663589477539|0.08060932159423828|0.039954185485839844|0.006308555603027344|</t>
  </si>
  <si>
    <t>34787.0|8163.0|15124.0|8386.0|2882.0|232.0|</t>
  </si>
  <si>
    <t>43.0|43.0|98.0|101.0|97.0|98.0|</t>
  </si>
  <si>
    <t>106.27467105263169|103.79365079365076|109.19999999999997|107.86086956521739|105.56140350877192|103.11111111111111|</t>
  </si>
  <si>
    <t>7.4001166791799795|10.202565395034709|3.178499196611058|2.8949339754331533|3.6467603688832995|3.6038388311615224|</t>
  </si>
  <si>
    <t>123.0|123.0|116.0|113.0|111.0|108.0|</t>
  </si>
  <si>
    <t>64615.0|26156.0|19110.0|12404.0|6017.0|928.0|</t>
  </si>
  <si>
    <t>Wed Apr 02 17:10:20 CDT 2025</t>
  </si>
  <si>
    <t>Cluster(s) of 2388.0  voxels is(are) detected. If more than one cluster the texture calculation is only performed on the largest cluster. (size ok &gt;= 64.0vx)</t>
  </si>
  <si>
    <t>z86.0 y345.0 x105.0</t>
  </si>
  <si>
    <t>z81.50921273031825 y351.3136515912898 x126.86139028475712</t>
  </si>
  <si>
    <t>z81.6315916762244 y351.45409664429366 x126.413109533202</t>
  </si>
  <si>
    <t>-699.0|-699.0|-616.0|-355.0|-192.0|-76.0|-2.0|</t>
  </si>
  <si>
    <t>-20.251675041876016|-95.71882086167797|-5.4683908045977|41.41189931350116|54.295358649789044|59.98095238095239|84.06451612903227|</t>
  </si>
  <si>
    <t>135.38679272587086|167.64268727909402|99.57450644714287|65.9760697571713|54.36233047100225|51.18983919869458|34.68934528610727|</t>
  </si>
  <si>
    <t>247.0|247.0|146.0|139.0|141.0|139.0|124.0|</t>
  </si>
  <si>
    <t>2388|882|696|437|237|105|31|</t>
  </si>
  <si>
    <t>4.126647720336914|1.5241638565063476|1.2027415466308593|0.755169620513916|0.4095542335510254|0.18144807815551758|0.05357038497924805|</t>
  </si>
  <si>
    <t>-48361.0|-84424.0|-3806.0|18097.0|12868.0|6298.0|2606.0|</t>
  </si>
  <si>
    <t>31.0|31.0|39.0|65.0|81.0|93.0|100.0|</t>
  </si>
  <si>
    <t>98.52261306532665|90.97392290249434|100.00287356321839|104.66590389016017|106.0042194092827|106.56190476190476|109.03225806451611|</t>
  </si>
  <si>
    <t>13.544668004895668|16.77172332245379|9.951751004947496|6.631045140254297|5.429640398296481|5.102611487359166|3.505607222425075|</t>
  </si>
  <si>
    <t>125.0|125.0|115.0|114.0|115.0|114.0|113.0|</t>
  </si>
  <si>
    <t>235272.0|80239.0|69602.0|45739.0|25123.0|11189.0|3380.0|</t>
  </si>
  <si>
    <t>Wed Apr 02 17:10:43 CDT 2025</t>
  </si>
  <si>
    <t>26.0 &lt;-&gt; 125.0</t>
  </si>
  <si>
    <t>Cluster(s) of 13088.0  voxels is(are) detected. If more than one cluster the texture calculation is only performed on the largest cluster. (size ok &gt;= 64.0vx)</t>
  </si>
  <si>
    <t>z98.0 y306.0 x356.0</t>
  </si>
  <si>
    <t>z95.33481051344744 y304.9258099022005 x363.34543092909536</t>
  </si>
  <si>
    <t>z95.36969457415617 y304.16087937513134 x363.25035324664725</t>
  </si>
  <si>
    <t>-742.0|-742.0|-524.0|-566.0|-550.0|-222.0|-114.0|-141.0|-158.0|-166.0|45.0|65.0|74.0|</t>
  </si>
  <si>
    <t>63.10811430317873|-2.2227074235807893|63.306709265175634|86.1265876375952|92.6670609107036|97.77767695099817|99.74152542372887|97.22489082969425|94.19504643962851|96.45378151260503|100.66115702479337|98.98039215686276|101.18181818181819|</t>
  </si>
  <si>
    <t>87.64397080663716|125.25216111373776|72.4024836034446|56.8809054504867|49.712357450830815|35.30893640262689|32.25511169476001|36.29115150267111|40.0134927736284|36.21254898771358|18.61730898123077|16.65979096928682|14.408445640842874|</t>
  </si>
  <si>
    <t>248.0|229.0|237.0|244.0|248.0|197.0|195.0|195.0|166.0|169.0|163.0|134.0|117.0|</t>
  </si>
  <si>
    <t>13088|3206|2817|2362|1691|1102|708|458|323|238|121|51|11|</t>
  </si>
  <si>
    <t>32.53252502441406|7.969076652526855|7.002148761749267|5.87116626739502|4.203277797698974|2.739214744567871|1.7598584747314454|1.1384395217895509|0.8028732872009278|0.5915908432006836|0.30076677322387696|0.1267694664001465|0.02734243392944336|</t>
  </si>
  <si>
    <t>825959.0|-7126.0|178335.0|203431.0|156700.0|107751.0|70617.0|44529.0|30425.0|22956.0|12180.0|5048.0|1113.0|</t>
  </si>
  <si>
    <t>26.0|26.0|48.0|44.0|46.0|78.0|89.0|86.0|85.0|84.0|105.0|107.0|108.0|</t>
  </si>
  <si>
    <t>106.8583435207827|100.32439176543981|106.8810791622294|109.16723116003375|109.81963335304557|110.3157894736843|110.51271186440671|110.2445414847162|109.95356037151697|110.18487394957985|110.62809917355374|110.47058823529412|110.72727272727273|</t>
  </si>
  <si>
    <t>8.766267487752968|12.521604941834859|7.244332648831407|5.689947747855166|4.980149132014181|3.545415134841716|3.2579510720949036|3.644883760587119|4.030957374460129|3.6194302596236514|1.890088245807975|1.6491583257501399|1.354514947795577|</t>
  </si>
  <si>
    <t>125.0|123.0|124.0|125.0|125.0|120.0|120.0|120.0|117.0|117.0|117.0|114.0|112.0|</t>
  </si>
  <si>
    <t>1398562.0|321640.0|301084.0|257853.0|185705.0|121568.0|78243.0|50492.0|35515.0|26224.0|13386.0|5634.0|1218.0|</t>
  </si>
  <si>
    <t>Wed Apr 02 17:11:41 CDT 2025</t>
  </si>
  <si>
    <t>61.0 &lt;-&gt; 173.0</t>
  </si>
  <si>
    <t>Cluster(s) of 44916.0  voxels is(are) detected. If more than one cluster the texture calculation is only performed on the largest cluster. (size ok &gt;= 64.0vx)</t>
  </si>
  <si>
    <t>z114.0 y282.0 x247.0</t>
  </si>
  <si>
    <t>z108.2282928132514 y250.52275358446877 x224.16784664707455</t>
  </si>
  <si>
    <t>z108.2313352299434 y250.42813792900438 x224.26433766939164</t>
  </si>
  <si>
    <t>-392.0|-392.0|-54.0|-16.0|-9.0|-34.0|-4.0|-4.0|0.0|4.0|15.0|19.0|21.0|12.0|24.0|23.0|25.0|27.0|29.0|31.0|41.0|51.0|50.0|74.0|</t>
  </si>
  <si>
    <t>76.92287826164313|62.39233160621759|74.28256166161823|76.6133089412304|77.59111001964617|78.1289813108716|78.69239565465976|80.17146554513108|80.64163946318472|80.2555323590815|80.30671239588433|81.75418349682624|80.16711051930773|79.48932926829264|79.36690017513142|81.35226077812835|82.621409921671|81.57320872274144|80.48832684824897|79.25185185185185|80.22775800711739|79.41447368421052|75.48780487804878|77.5|</t>
  </si>
  <si>
    <t>27.948447211578404|55.83542864037852|28.916182362793386|24.328226196154837|22.880670833381114|22.11888954831739|21.35863425435005|20.926711349390406|19.929654486754572|18.60481916373661|18.528312988107942|18.037136823006804|17.836157998018027|17.657346865557315|17.68356982355574|16.807970689390253|15.197318751307124|15.672219761687103|14.6158614044318|14.86102792177016|14.019993792235505|12.306098230973133|9.624972476918552|3.5|</t>
  </si>
  <si>
    <t>726.0|726.0|191.0|191.0|211.0|184.0|164.0|167.0|161.0|140.0|139.0|138.0|136.0|127.0|134.0|131.0|135.0|130.0|130.0|116.0|119.0|110.0|101.0|81.0|</t>
  </si>
  <si>
    <t>44916|4825|4622|4373|4072|3799|3498|3091|2757|2395|2041|1733|1502|1312|1142|951|766|642|514|405|281|152|41|2|</t>
  </si>
  <si>
    <t>134.34500610351563|14.431709289550781|13.824530639648437|13.079764709472656|12.17946533203125|11.362914733886718|10.462615356445312|9.245267028808593|8.246263732910156|7.163511657714844|6.104687805175781|5.183451232910156|4.492523803710937|3.924228515625|3.4157537841796874|2.8444674682617186|2.2911273193359376|1.9202398681640624|1.5373883056640625|1.2113662719726563|0.8404788208007813|0.45463623046875|0.12263214111328125|0.0059820556640625|</t>
  </si>
  <si>
    <t>3455068.0|301043.0|343334.0|335030.0|315951.0|296812.0|275266.0|247810.0|222329.0|192212.0|163906.0|141680.0|120411.0|104290.0|90637.0|77366.0|63288.0|52370.0|41371.0|32097.0|22544.0|12071.0|3095.0|155.0|</t>
  </si>
  <si>
    <t>61.0|61.0|95.0|99.0|100.0|97.0|100.0|100.0|101.0|101.0|102.0|102.0|103.0|102.0|103.0|103.0|103.0|103.0|103.0|104.0|105.0|106.0|106.0|108.0|</t>
  </si>
  <si>
    <t>108.24298690889624|106.79253886010345|107.97944612721759|108.20878115710042|108.3055009823181|108.36009476177931|108.42024013722123|108.56615981882892|108.62966993108466|108.57035490605439|108.58059774620274|108.72417772648583|108.56790945406117|108.4939024390244|108.49912434325753|108.68769716088333|108.79895561357704|108.69937694704053|108.59533073929967|108.5086419753086|108.58362989323848|108.5197368421053|108.14634146341463|108.5|</t>
  </si>
  <si>
    <t>2.8104864859881347|5.594099989639599|2.898657808071172|2.456126935882947|2.3089024758370233|2.2357377735135096|2.1537690843742707|2.1150368520406344|2.0235190404556134|1.8777785478795805|1.8799063419118627|1.8344898794665254|1.7937183696642378|1.789610773936377|1.7807835709021873|1.696859862522939|1.5410141977999323|1.5860469044591898|1.5034517960556237|1.4983280831172514|1.4170852465949502|1.282321059317429|0.97682850704882|0.5|</t>
  </si>
  <si>
    <t>173.0|173.0|120.0|120.0|122.0|119.0|117.0|117.0|117.0|115.0|114.0|114.0|114.0|113.0|114.0|114.0|114.0|114.0|114.0|112.0|112.0|112.0|111.0|109.0|</t>
  </si>
  <si>
    <t>4861842.0|515274.0|499081.0|473197.0|441020.0|411660.0|379254.0|335578.0|299492.0|260026.0|221613.0|188419.0|163069.0|142344.0|123906.0|103362.0|83340.0|69785.0|55818.0|43946.0|30512.0|16495.0|4434.0|217.0|</t>
  </si>
  <si>
    <t>Wed Apr 02 17:12:06 CDT 2025</t>
  </si>
  <si>
    <t>3_LUNG CE Axial 3.0_CT</t>
  </si>
  <si>
    <t>1.0 &lt;-&gt; 161.0</t>
  </si>
  <si>
    <t>Cluster(s) of 864.0 37158.0 295.0 2.0  voxels is(are) detected. If more than one cluster the texture calculation is only performed on the largest cluster. (size ok &gt;= 64.0vx)</t>
  </si>
  <si>
    <t>z102.0 y275.0 x238.0</t>
  </si>
  <si>
    <t>z98.86137574681092 y289.82695516443295 x218.33193390386995</t>
  </si>
  <si>
    <t>z98.84367445420415 y289.80616277857746 x218.3920546331729</t>
  </si>
  <si>
    <t>-999.0|-999.0|-250.0|-289.0|-216.0|-89.0|-54.0|-57.0|-77.0|-45.0|-40.0|-19.0|-20.0|-30.0|-5.0|16.0|</t>
  </si>
  <si>
    <t>62.415226869045725|39.98986812479892|69.3118751096298|67.64683941892443|67.53088367898997|68.48157964484476|67.71410499683734|66.2937571811565|64.43783520234025|62.18124207858043|61.05277280858675|61.98948751642571|63.390361445783135|58.271676300578044|53.12698412698414|56.25|</t>
  </si>
  <si>
    <t>60.367947640589826|111.40338177470831|51.2805557874423|43.50611035277682|41.855226160286854|38.687299228518896|38.83806351239916|39.16552822821221|37.5600466692514|34.285058701543264|33.33762193288235|32.706996038797364|30.796681148280825|34.6975562776528|31.965999825952014|40.350805444253524|</t>
  </si>
  <si>
    <t>601.0|488.0|601.0|312.0|397.0|254.0|237.0|367.0|267.0|193.0|156.0|155.0|148.0|127.0|127.0|114.0|</t>
  </si>
  <si>
    <t>37158|6218|5701|5094|4436|3773|3162|2611|2051|1578|1118|761|415|173|63|4|</t>
  </si>
  <si>
    <t>57.30755718599999|9.589816206|8.792464166999999|7.8563080979999995|6.841496412|5.818973390999999|4.876648254|4.026859137|3.1631896169999996|2.4336973259999994|1.7242545059999999|1.1736651869999999|0.6400408049999999|0.266812191|0.097162821|0.006169067999999999|</t>
  </si>
  <si>
    <t>2319225.0|248657.0|395147.0|344593.0|299567.0|258381.0|214112.0|173093.0|132162.0|98122.0|68257.0|47174.0|26307.0|10081.0|3347.0|225.0|</t>
  </si>
  <si>
    <t>1.0|1.0|76.0|72.0|79.0|92.0|95.0|95.0|93.0|96.0|97.0|99.0|99.0|98.0|100.0|102.0|</t>
  </si>
  <si>
    <t>106.79065073470011|104.54293985204261|107.48991405016656|107.3072241853161|107.30568079350738|107.40286244367887|107.31815306767848|107.17617770968984|106.99561189663576|106.76172370088726|106.65205724508061|106.73324572930355|106.8915662650603|106.38150289017338|105.90476190476191|106.25|</t>
  </si>
  <si>
    <t>6.042305756343899|11.142625142048358|5.13109444102896|4.354803073119364|4.197274031745622|3.8735529803596846|3.8984556379593447|3.9284562343391185|3.774930812122125|3.4334528242401072|3.3294976800910896|3.2695080910973653|3.0968777443872773|3.494686974205201|3.2352929050405774|4.0233692348577685|</t>
  </si>
  <si>
    <t>161.0|149.0|161.0|132.0|140.0|126.0|124.0|137.0|127.0|120.0|116.0|116.0|115.0|113.0|113.0|112.0|</t>
  </si>
  <si>
    <t>3968127.0|650048.0|612800.0|546623.0|476008.0|405231.0|339340.0|279837.0|219448.0|168470.0|119237.0|81224.0|44360.0|18404.0|6672.0|425.0|</t>
  </si>
  <si>
    <t>Wed Apr 02 17:12:49 CDT 2025</t>
  </si>
  <si>
    <t>1.0 &lt;-&gt; 124.0</t>
  </si>
  <si>
    <t>Cluster(s) of 35786.0  voxels is(are) detected. If more than one cluster the texture calculation is only performed on the largest cluster. (size ok &gt;= 64.0vx)</t>
  </si>
  <si>
    <t>z237.0 y322.0 x341.0</t>
  </si>
  <si>
    <t>z241.6760185547421 y325.9072821773878 x346.3881406136478</t>
  </si>
  <si>
    <t>z241.81166660732734 y325.7220559262941 x346.23939821073094</t>
  </si>
  <si>
    <t>-991.0|-991.0|-912.0|-644.0|-619.0|-527.0|-528.0|-551.0|-476.0|-165.0|-17.0|0.0|47.0|58.0|</t>
  </si>
  <si>
    <t>30.889733415302008|-57.861482228384155|32.51123435722409|62.250213784847|64.74378947368388|63.67992320351069|65.12922614575503|66.0220994475137|67.03445305770884|65.50903119868629|63.1255230125523|61.609375|74.89999999999998|88.58333333333333|</t>
  </si>
  <si>
    <t>124.63208235327929|202.07973901086737|111.47179423090206|62.80252241613201|52.30937360256304|51.492602002544544|46.99175697895477|52.97339640880156|36.705835572795024|27.476821111704496|22.552239153468655|24.722596690262435|17.320219398148502|20.434685925868518|</t>
  </si>
  <si>
    <t>238.0|238.0|226.0|227.0|209.0|186.0|184.0|187.0|179.0|160.0|129.0|103.0|108.0|125.0|</t>
  </si>
  <si>
    <t>35786|7934|7032|5847|4750|3646|2662|1810|1161|609|239|64|20|12|</t>
  </si>
  <si>
    <t>44.12201495361328|9.782151306152343|8.670038818359375|7.209004119873047|5.856468200683594|4.495301696777344|3.2820880737304687|2.231622619628906|1.4314441223144532|0.7508608703613281|0.2946728210449219|0.078908203125|0.0246588134765625|0.0147952880859375|</t>
  </si>
  <si>
    <t>1105420.0|-459073.0|228619.0|363977.0|307533.0|232177.0|173374.0|119500.0|77827.0|39895.0|15087.0|3943.0|1498.0|1063.0|</t>
  </si>
  <si>
    <t>1.0|1.0|9.0|36.0|39.0|48.0|48.0|45.0|53.0|84.0|99.0|101.0|105.0|106.0|</t>
  </si>
  <si>
    <t>103.64061364779505|94.76480967985844|103.80915813424346|106.77766375919283|107.03094736842111|106.91662095447069|107.04845980465804|107.14861878453024|107.25150732127484|107.08538587848936|106.88284518828445|106.765625|108.05|109.5|</t>
  </si>
  <si>
    <t>12.468381664533922|20.216521229815243|11.146747704508375|6.288309481566465|5.241503415038613|5.1542486234931415|4.719349235547422|5.305320041635343|3.684658683553671|2.752386614568659|2.2692409890555734|2.4478446354650454|1.687453703068621|2.0615528128088303|</t>
  </si>
  <si>
    <t>124.0|124.0|123.0|123.0|121.0|119.0|119.0|119.0|118.0|117.0|113.0|111.0|111.0|113.0|</t>
  </si>
  <si>
    <t>3708883.0|751864.0|729986.0|624329.0|508397.0|389818.0|284963.0|193939.0|124519.0|65215.0|25545.0|6833.0|2161.0|1314.0|</t>
  </si>
  <si>
    <t>Wed Apr 02 17:14:36 CDT 2025</t>
  </si>
  <si>
    <t>1.0 &lt;-&gt; 155.0</t>
  </si>
  <si>
    <t>Cluster(s) of 69030.0 1.0 1.0 214.0  voxels is(are) detected. If more than one cluster the texture calculation is only performed on the largest cluster. (size ok &gt;= 64.0vx)</t>
  </si>
  <si>
    <t>z106.0 y270.0 x227.0</t>
  </si>
  <si>
    <t>z105.96656526148051 y253.2563523105896 x179.20507025930755</t>
  </si>
  <si>
    <t>z105.98738778420103 y253.38494793708708 x179.3843940575661</t>
  </si>
  <si>
    <t>-1020.0|-1020.0|-405.0|-176.0|-212.0|-220.0|-65.0|21.0|22.0|19.0|13.0|13.0|7.0|-10.0|-11.0|8.0|11.0|10.0|12.0|6.0|0.0|14.0|24.0|35.0|36.0|29.0|28.0|48.0|25.0|55.0|64.0|69.0|76.0|</t>
  </si>
  <si>
    <t>81.65470085470027|38.56978124470073|74.91853832442077|88.5035687453041|91.62575090108156|91.49307059333037|90.58415147265055|89.16716269841294|88.25263157894734|86.42229635807627|84.74234393404005|83.73829113924056|83.22059324923273|82.33456289192176|82.21618308132425|82.786557674841|82.50789607743249|82.41053850607983|82.17091660923491|81.4534686971235|81.41450777202077|82.62753036437243|84.28007181328555|88.48051948051948|90.36394557823128|93.5756302521008|98.20000000000002|98.46511627906976|92.325|99.875|105.1818181818182|97.00000000000001|92.22222222222223|</t>
  </si>
  <si>
    <t>49.995011405430574|125.76754179547065|57.86241560284596|34.275316484264756|30.323973316768335|29.255509889069142|27.610567411566358|26.91585272772965|26.530406952679673|26.759379066746497|26.953049693720978|26.88826250189726|27.26947688615691|28.194635942437813|29.408656551419853|29.357127060087983|29.076607824383505|29.382507511348024|28.517705971566325|27.38067390578573|26.59000156650868|26.395906073928437|25.978250425066072|23.47001977633526|25.14827172644217|25.4419869552878|23.856507979437666|23.237582000598543|28.009273018056007|24.663494205577834|26.287979215597183|15.748015748023622|8.816370855501058|</t>
  </si>
  <si>
    <t>546.0|546.0|413.0|253.0|236.0|258.0|245.0|208.0|182.0|193.0|220.0|239.0|249.0|249.0|221.0|229.0|232.0|228.0|217.0|186.0|175.0|161.0|149.0|147.0|148.0|144.0|145.0|151.0|146.0|146.0|152.0|137.0|103.0|</t>
  </si>
  <si>
    <t>69030|5897|5610|5324|4994|4618|4278|4032|3800|3597|3396|3160|2933|2711|2447|2202|1963|1727|1451|1182|965|741|557|385|294|238|185|129|80|56|44|25|9|</t>
  </si>
  <si>
    <t>171.5862012863159|14.658030261993408|13.944641304016113|13.233738021850586|12.413465003967286|11.478850898742676|10.633721122741699|10.022244873046875|9.445568084716797|8.940975894927979|8.441355056762696|7.854735565185547|7.290487155914307|6.738667125701904|6.082448711395264|5.473458137512207|4.879381618499756|4.292762126922607|3.606715602874756|2.9380688095092773|2.3986771583557127|1.8418857765197754|1.384521427154541|0.9569851875305175|0.730788688659668|0.5915908432006836|0.45985002517700196|0.32065217971801757|0.19885406494140626|0.13919784545898437|0.10936973571777343|0.06214189529418945|0.022371082305908202|</t>
  </si>
  <si>
    <t>5636624.0|227446.0|420293.0|471193.0|457579.0|422515.0|387519.0|359522.0|335360.0|310861.0|287785.0|264613.0|244086.0|223209.0|201183.0|182296.0|161963.0|142323.0|119230.0|96278.0|78565.0|61227.0|46944.0|34065.0|26567.0|22271.0|18167.0|12702.0|7386.0|5593.0|4628.0|2425.0|830.0|</t>
  </si>
  <si>
    <t>1.0|1.0|60.0|83.0|79.0|79.0|94.0|103.0|103.0|102.0|102.0|102.0|101.0|100.0|99.0|101.0|102.0|102.0|102.0|101.0|101.0|102.0|103.0|104.0|104.0|103.0|103.0|105.0|103.0|106.0|107.0|107.0|108.0|</t>
  </si>
  <si>
    <t>108.71371867304099|104.40427335933492|108.04242424242418|109.39669421487602|109.71465758910682|109.70203551320904|109.6089294062645|109.4625496031747|109.37078947368398|109.18876841812623|109.02179034157854|108.91329113924051|108.86771224002744|108.79048321652532|108.76869636289342|108.8287920072662|108.79317371370352|108.79328314997079|108.77050310130942|108.70135363790189|108.68911917098441|108.78947368421068|108.98563734290846|109.39740259740262|109.56462585034015|109.9033613445378|110.35675675675675|110.37209302325583|109.73750000000001|110.55357142857147|111.13636363636363|110.28|109.88888888888889|</t>
  </si>
  <si>
    <t>5.006555905424344|12.568754189420023|5.798978074429891|3.441967691406944|3.048282770070873|2.93704704002612|2.782464411990325|2.711872458225557|2.663424666792515|2.691889312169433|2.712379871723107|2.6964722483504215|2.739557077264085|2.839685202587092|2.960652060229287|2.9491955049783667|2.9202359767386654|2.9543135887811203|2.8703404433999196|2.7547187379158715|2.669485163399816|2.65190530511237|2.6283515318774544|2.369830616226324|2.5423435201203137|2.5788223738397886|2.438934253354135|2.3296862996791146|2.8184381756568637|2.4850958795612397|2.6848980773858835|1.6375591592366963|0.9938079899999039|</t>
  </si>
  <si>
    <t>155.0|155.0|142.0|126.0|124.0|126.0|125.0|121.0|119.0|120.0|123.0|124.0|125.0|125.0|123.0|123.0|124.0|123.0|122.0|119.0|118.0|117.0|115.0|115.0|115.0|115.0|115.0|116.0|115.0|115.0|116.0|114.0|111.0|</t>
  </si>
  <si>
    <t>7504508.0|615672.0|606118.0|582428.0|547915.0|506604.0|468907.0|441353.0|415609.0|392752.0|370238.0|344166.0|319309.0|294931.0|266157.0|239641.0|213561.0|187886.0|157826.0|128485.0|104885.0|80613.0|60705.0|42118.0|32212.0|26157.0|20416.0|14238.0|8779.0|6191.0|4890.0|2757.0|989.0|</t>
  </si>
  <si>
    <t>Wed Apr 02 17:14:57 CDT 2025</t>
  </si>
  <si>
    <t>56.0 &lt;-&gt; 120.0</t>
  </si>
  <si>
    <t>Cluster(s) of 10623.0  voxels is(are) detected. If more than one cluster the texture calculation is only performed on the largest cluster. (size ok &gt;= 64.0vx)</t>
  </si>
  <si>
    <t>z98.0 y278.0 x203.0</t>
  </si>
  <si>
    <t>z101.73387931845994 y247.68784712416453 x192.0557281370611</t>
  </si>
  <si>
    <t>z101.74485920963987 y247.5652293288558 x192.10115313061567</t>
  </si>
  <si>
    <t>-448.0|-448.0|-128.0|-55.0|-53.0|-42.0|-5.0|18.0|29.0|28.0|32.0|40.0|44.0|39.0|35.0|</t>
  </si>
  <si>
    <t>62.85305469264812|1.8448810754912095|65.34795152914019|77.50225660863956|78.8649468892261|81.20955882352938|81.9859320046893|81.43090638930155|79.12757973733574|77.67139479905434|77.00704225352109|75.16666666666667|70.44117647058825|63.99999999999998|58.4|</t>
  </si>
  <si>
    <t>50.16294977857771|78.15405022027876|38.72994658392253|28.02069031656444|22.850108006808718|19.904833800584544|17.242081322401862|16.907362189492794|17.45395037873602|18.16052169329777|16.545922640955023|15.447684369540713|14.819881670700482|11.714746865282539|13.879481258317979|</t>
  </si>
  <si>
    <t>193.0|148.0|175.0|193.0|138.0|140.0|148.0|143.0|119.0|123.0|118.0|121.0|100.0|87.0|77.0|</t>
  </si>
  <si>
    <t>10623|1934|1733|1551|1318|1088|853|673|533|423|284|126|68|34|5|</t>
  </si>
  <si>
    <t>23.01108335494995|4.1893471908569335|3.753949680328369|3.3597091484069823|2.8549946212768553|2.356778564453125|1.8477317237854003|1.4578235054016113|1.1545615577697754|0.9162843132019043|0.6151885223388672|0.27293575286865235|0.1472986602783203|0.07364933013916015|0.01083078384399414|</t>
  </si>
  <si>
    <t>667688.0|3568.0|113248.0|120206.0|103944.0|88356.0|69934.0|54803.0|42175.0|32855.0|21870.0|9471.0|4790.0|2176.0|292.0|</t>
  </si>
  <si>
    <t>56.0|56.0|88.0|95.0|95.0|96.0|100.0|102.0|103.0|103.0|104.0|105.0|105.0|104.0|104.0|</t>
  </si>
  <si>
    <t>106.83488656688291|100.73526370217171|107.08597807270642|108.29658284977431|108.43247344461298|108.67647058823533|108.74325908558025|108.69242199108474|108.46716697936216|108.31678486997642|108.26408450704223|108.04761904761907|107.57352941176465|106.94117647058825|106.4|</t>
  </si>
  <si>
    <t>5.021898679803585|7.817874377381163|3.8687489286632855|2.8144386736573352|2.3127098414525693|2.002323477352869|1.7333274587960237|1.7467147478433986|1.7904664260394703|1.818964210118138|1.6733133845754669|1.5779087167410364|1.5177012074243348|1.2588785034725138|1.3564659966250527|</t>
  </si>
  <si>
    <t>120.0|115.0|118.0|120.0|114.0|115.0|115.0|115.0|112.0|113.0|112.0|113.0|111.0|109.0|108.0|</t>
  </si>
  <si>
    <t>1134907.0|194822.0|185580.0|167968.0|142914.0|118240.0|92758.0|73150.0|57813.0|45818.0|30747.0|13614.0|7315.0|3636.0|532.0|</t>
  </si>
  <si>
    <t>Wed Apr 02 17:15:22 CDT 2025</t>
  </si>
  <si>
    <t>59.0 &lt;-&gt; 121.0</t>
  </si>
  <si>
    <t>Cluster(s) of 5251.0 1153.0 17455.0  voxels is(are) detected. If more than one cluster the texture calculation is only performed on the largest cluster. (size ok &gt;= 64.0vx)</t>
  </si>
  <si>
    <t>z103.0 y267.0 x295.0</t>
  </si>
  <si>
    <t>z103.19203666571183 y284.83998854196506 x305.7088513319966</t>
  </si>
  <si>
    <t>z103.26040281039072 y285.0392873127584 x305.41025761206515</t>
  </si>
  <si>
    <t>-411.0|-411.0|-135.0|-140.0|-53.0|-25.0|-24.0|-19.0|-17.0|21.0|18.0|24.0|28.0|26.0|43.0|50.0|</t>
  </si>
  <si>
    <t>74.25574334001725|42.32819472616628|70.9782229965159|76.51024208566085|77.0160705028512|79.45874780573439|82.22830440587445|82.6335877862596|86.35576923076911|86.99796334012242|83.90520694259017|82.1663551401869|83.14745308310992|83.90666666666665|84.3636363636364|85.46666666666667|</t>
  </si>
  <si>
    <t>44.467353617765575|77.38872529919787|44.1146595169758|35.9047128569742|33.85231932984127|32.257198013930946|31.539429196708678|30.40309498780862|28.44726137965991|24.00470922753392|22.674167020142278|22.382411084763255|22.421916346630713|24.39135001502696|29.136004009369618|20.257892837662613|</t>
  </si>
  <si>
    <t>202.0|190.0|164.0|169.0|170.0|171.0|200.0|187.0|177.0|161.0|199.0|170.0|156.0|202.0|189.0|149.0|</t>
  </si>
  <si>
    <t>17455|2465|2296|2148|1929|1709|1498|1310|1144|982|749|535|373|225|77|15|</t>
  </si>
  <si>
    <t>48.07476043701172|6.789131164550781|6.32366943359375|5.916046142578125|5.312873840332031|4.706947326660156|4.1258087158203125|3.6080169677734375|3.15081787109375|2.7046356201171875|2.0629043579101562|1.4735031127929688|1.0273208618164062|0.6196975708007812|0.21207427978515625|0.04131317138671875|</t>
  </si>
  <si>
    <t>1296134.0|104339.0|162966.0|164344.0|148564.0|135795.0|123178.0|108250.0|98791.0|85432.0|62845.0|43959.0|31014.0|18879.0|6496.0|1282.0|</t>
  </si>
  <si>
    <t>59.0|59.0|87.0|87.0|95.0|98.0|98.0|99.0|99.0|103.0|102.0|103.0|103.0|103.0|105.0|106.0|</t>
  </si>
  <si>
    <t>107.97347464909778|104.78580121703861|107.63980836236915|108.19692737430164|108.24935199585282|108.50263311878278|108.75634178905212|108.8083969465649|109.19143356643343|109.24643584521388|108.95460614152199|108.76822429906552|108.84450402144766|108.9511111111111|108.97402597402598|109.0|</t>
  </si>
  <si>
    <t>4.454272705119055|7.743161690062846|4.415738477846991|3.5929853369582525|3.3996814483463873|3.2366427273501683|3.1595390092549875|3.070781738198724|2.854434050575205|2.4232332942220642|2.2749746132804307|2.264417902170719|2.2575350345652376|2.487714008413012|2.9320177263068006|1.861898672502526|</t>
  </si>
  <si>
    <t>121.0|120.0|117.0|117.0|118.0|118.0|121.0|119.0|118.0|117.0|120.0|118.0|116.0|121.0|119.0|115.0|</t>
  </si>
  <si>
    <t>1884677.0|258297.0|247141.0|232407.0|208813.0|185431.0|162917.0|142539.0|124915.0|107280.0|81607.0|58191.0|40599.0|24514.0|8391.0|1635.0|</t>
  </si>
  <si>
    <t>Wed Apr 02 17:15:50 CDT 2025</t>
  </si>
  <si>
    <t>36.0 &lt;-&gt; 152.0</t>
  </si>
  <si>
    <t>Cluster(s) of 1097.0 81.0 49.0 739.0 13960.0  voxels is(are) detected. If more than one cluster the texture calculation is only performed on the largest cluster. (size ok &gt;= 64.0vx)</t>
  </si>
  <si>
    <t>z115.0 y347.0 x161.0</t>
  </si>
  <si>
    <t>z115.89061604584526 y319.0297277936963 x189.90085959885386</t>
  </si>
  <si>
    <t>z115.9073779422472 y318.95296919954257 x189.67553422145264</t>
  </si>
  <si>
    <t>-649.0|-649.0|-284.0|-224.0|-237.0|-56.0|-111.0|-153.0|-123.0|-76.0|-85.0|-65.0|-28.0|-68.0|-91.0|-44.0|6.0|-3.0|-4.0|17.0|</t>
  </si>
  <si>
    <t>26.805372492836685|7.187035507844765|24.861300591177827|32.507072905331896|34.828216851730815|35.01674641148327|32.80718336483939|29.367251461988314|27.28041543026709|29.16758747697975|31.0645933014354|33.10179640718564|34.85447761194034|33.901477832512334|32.397350993377486|32.13999999999998|27.87272727272728|19.656249999999996|21.650000000000002|27.2|</t>
  </si>
  <si>
    <t>43.96817046587524|83.6679525827846|38.11022939665809|29.747609042940137|25.866660815774637|23.32983537790727|23.78254243306935|25.018979533345945|23.648827973408004|20.69758348985929|17.75587078469075|15.716475481587485|14.957816883527505|19.224372558787593|22.126691044051814|18.263636001629028|13.017546962681557|12.912226219265985|10.900802722735607|7.730459236035076|</t>
  </si>
  <si>
    <t>516.0|516.0|135.0|112.0|100.0|97.0|106.0|115.0|97.0|68.0|68.0|72.0|68.0|70.0|63.0|61.0|61.0|45.0|37.0|37.0|</t>
  </si>
  <si>
    <t>13960|2422|2199|1838|1531|1254|1058|855|674|543|418|334|268|203|151|100|55|32|20|5|</t>
  </si>
  <si>
    <t>28.124332427978516|4.879450798034668|4.430186748504639|3.7029027938842773|3.084409236907959|2.5263547897338867|2.131485939025879|1.7225146293640137|1.357865333557129|1.0939478874206543|0.8421182632446289|0.6728887557983398|0.5399227142333984|0.40897130966186523|0.30421018600463867|0.2014636993408203|0.11080503463745117|0.0644683837890625|0.04029273986816406|0.010073184967041016|</t>
  </si>
  <si>
    <t>374203.0|17407.0|54670.0|59748.0|53322.0|43911.0|34710.0|25109.0|18387.0|15838.0|12985.0|11056.0|9341.0|6882.0|4892.0|3214.0|1533.0|629.0|433.0|136.0|</t>
  </si>
  <si>
    <t>36.0|36.0|72.0|78.0|77.0|95.0|89.0|85.0|88.0|93.0|92.0|94.0|98.0|94.0|91.0|96.0|101.0|100.0|100.0|102.0|</t>
  </si>
  <si>
    <t>103.22593123209197|101.26754748142032|103.0222828558435|103.80359085962996|104.0372305682561|104.03508771929829|103.83081285444236|103.48187134502916|103.24777448071225|103.45672191528536|103.67942583732057|103.86227544910177|104.05223880597016|103.94581280788185|103.78807947019865|103.71000000000002|103.29090909090905|102.5|102.75|103.2|</t>
  </si>
  <si>
    <t>4.408374851569134|8.373077980077719|3.829227973871699|2.9898355463639885|2.612695460373073|2.3491924263672375|2.395000207376181|2.5273866043356716|2.3836801901354847|2.0691244956875283|1.7723575669086575|1.628401249911893|1.5003341129343135|1.9430359933267007|2.2452577589845917|1.856313551100675|1.3439795354600965|1.4142135623730956|1.1346805717910204|0.748331477354787|</t>
  </si>
  <si>
    <t>152.0|152.0|114.0|112.0|111.0|110.0|111.0|112.0|110.0|107.0|107.0|108.0|107.0|108.0|107.0|107.0|107.0|105.0|104.0|104.0|</t>
  </si>
  <si>
    <t>1441034.0|245270.0|226546.0|190791.0|159281.0|130460.0|109853.0|88477.0|69589.0|56177.0|43338.0|34690.0|27886.0|21101.0|15672.0|10371.0|5681.0|3280.0|2055.0|516.0|</t>
  </si>
  <si>
    <t>Wed Apr 02 17:16:20 CDT 2025</t>
  </si>
  <si>
    <t>59.0 &lt;-&gt; 116.0</t>
  </si>
  <si>
    <t>Cluster(s) of 24330.0  voxels is(are) detected. If more than one cluster the texture calculation is only performed on the largest cluster. (size ok &gt;= 64.0vx)</t>
  </si>
  <si>
    <t>z105.0 y283.0 x352.0</t>
  </si>
  <si>
    <t>z108.31208384710234 y291.85935059597205 x366.0870530209618</t>
  </si>
  <si>
    <t>z108.30697226564939 y291.8271053922381 x365.98420469958785</t>
  </si>
  <si>
    <t>-417.0|-417.0|-262.0|-187.0|-121.0|-135.0|-205.0|-180.0|-152.0|-129.0|-99.0|-44.0|-110.0|-96.0|-15.0|29.0|30.0|48.0|</t>
  </si>
  <si>
    <t>45.62856555692539|33.438921651221655|51.73260738052028|51.21338634857518|47.94998119593829|46.07549611734256|44.79940857565308|45.88032220943624|45.83768913342511|45.598162071846275|45.20271682340645|45.05804749340371|45.73174872665532|44.908415841584166|49.08810572687223|48.89333333333332|48.72727272727273|56.85714285714286|</t>
  </si>
  <si>
    <t>28.896992639337732|52.01384734906112|26.702624114136725|22.572573328352647|21.21091939849896|21.871869682885745|22.914732114964544|20.973366680332667|19.61145439509032|18.77309696225828|17.487020800728736|16.72134835014273|19.348629600061052|18.17377689962581|11.628280482703214|11.537271004107609|10.546499425768772|4.793703353017864|</t>
  </si>
  <si>
    <t>150.0|150.0|130.0|110.0|103.0|101.0|115.0|112.0|105.0|100.0|104.0|91.0|102.0|84.0|78.0|74.0|69.0|63.0|</t>
  </si>
  <si>
    <t>24330|3561|3306|3018|2659|2318|2029|1738|1454|1197|957|758|589|404|227|75|33|7|</t>
  </si>
  <si>
    <t>74.99361648559571|10.976254348754884|10.190254669189454|9.302537384033203|8.195973129272462|7.144891204833985|6.254091567993164|5.357127227783203|4.481739349365235|3.689574966430664|2.949810562133789|2.336422576904297|1.8155051422119142|1.2452700805664063|0.699693832397461|0.23117637634277344|0.10171760559082031|0.02157646179199219|</t>
  </si>
  <si>
    <t>1110143.0|119076.0|171028.0|154562.0|127499.0|106803.0|90898.0|79740.0|66648.0|54581.0|43259.0|34154.0|26936.0|18143.0|11143.0|3667.0|1608.0|398.0|</t>
  </si>
  <si>
    <t>59.0|59.0|74.0|82.0|88.0|87.0|80.0|83.0|85.0|88.0|91.0|96.0|90.0|91.0|99.0|103.0|104.0|105.0|</t>
  </si>
  <si>
    <t>105.11866009042284|103.89918562201647|105.7335148215368|105.66766070245208|105.35238811583302|105.15660051768778|105.0369640216857|105.14729574223249|105.12861072902342|105.11946532999168|105.08045977011498|105.08047493403703|105.13921901528013|105.06435643564357|105.44493392070484|105.47999999999998|105.45454545454544|106.14285714285715|</t>
  </si>
  <si>
    <t>2.9045256318144532|5.206890851434691|2.689982006170111|2.2692854870617425|2.141902049796642|2.207149142926157|2.3214163198574123|2.112526654626305|1.9818554159508173|1.894880862186512|1.770182793960734|1.728272975812315|1.9608147888678364|1.8537670588823199|1.213110601072831|1.1816372821922427|0.9563475053369397|0.6388765649999428|</t>
  </si>
  <si>
    <t>116.0|116.0|114.0|112.0|111.0|111.0|112.0|112.0|111.0|111.0|111.0|110.0|111.0|109.0|108.0|108.0|107.0|107.0|</t>
  </si>
  <si>
    <t>2557537.0|369985.0|349555.0|318905.0|280132.0|243753.0|213120.0|182746.0|152857.0|125828.0|100562.0|79651.0|61927.0|42446.0|23936.0|7911.0|3480.0|743.0|</t>
  </si>
  <si>
    <t>Wed Apr 02 17:17:18 CDT 2025</t>
  </si>
  <si>
    <t>51.0 &lt;-&gt; 128.0</t>
  </si>
  <si>
    <t>Cluster(s) of 4254.0 1143.0 280.0 444.0 358.0 1134.0 678.0 34784.0 935.0 100.0 2416.0 966.0 250.0 239.0 294.0  voxels is(are) detected. If more than one cluster the texture calculation is only performed on the largest cluster. (size ok &gt;= 64.0vx)</t>
  </si>
  <si>
    <t>z105.0 y179.0 x298.0</t>
  </si>
  <si>
    <t>z103.98821297148115 y218.16326471941122 x323.9649551517939</t>
  </si>
  <si>
    <t>z103.98584006166877 y218.19760327924928 x323.9205765080483</t>
  </si>
  <si>
    <t>-500.0|-500.0|-75.0|-11.0|-20.0|1.0|32.0|12.0|9.0|20.0|23.0|39.0|39.0|35.0|37.0|31.0|27.0|26.0|37.0|46.0|62.0|</t>
  </si>
  <si>
    <t>78.58733900643927|47.567996036660986|87.89876476906562|95.05603948896622|94.13477431659246|90.95373665480402|87.36905721192586|83.38393645189753|79.53691931540335|76.26685082872915|74.68187347931872|73.22244623655922|71.05727204220045|69.2437120555073|66.6878198567042|65.48699763593368|64.48489208633092|63.80239520958094|64.84782608695649|66.30097087378643|69.2|</t>
  </si>
  <si>
    <t>33.19208554777935|71.59108031418359|30.73560561993801|22.101354168723585|18.693914683189814|16.246871976683234|14.617028135722325|15.043478841109746|14.691122389455156|13.987960708368206|13.769668963028455|12.777020974533482|12.278777843249827|11.94481808241681|11.253103066018134|10.917125861924498|10.556841102010717|11.484732304207112|9.930849441836326|7.803204409561755|4.118252056394801|</t>
  </si>
  <si>
    <t>277.0|277.0|170.0|174.0|177.0|163.0|144.0|141.0|142.0|155.0|162.0|144.0|133.0|112.0|106.0|102.0|109.0|114.0|93.0|85.0|75.0|</t>
  </si>
  <si>
    <t>34784|4037|3724|3444|3146|2810|2482|2266|2045|1810|1644|1488|1327|1153|977|846|695|501|276|103|10|</t>
  </si>
  <si>
    <t>85.9833984375|9.979156494140625|9.2054443359375|8.5133056640625|7.77667236328125|6.94610595703125|6.13531494140625|5.60137939453125|5.055084228515625|4.47418212890625|4.0638427734375|3.67822265625|3.280242919921875|2.850128173828125|2.415069580078125|2.09124755859375|1.717987060546875|1.238433837890625|0.6822509765625|0.254608154296875|0.02471923828125|</t>
  </si>
  <si>
    <t>2733582.0|192032.0|327335.0|327373.0|296148.0|255580.0|216850.0|188948.0|162653.0|138043.0|122777.0|108955.0|94293.0|79838.0|65154.0|55402.0|44817.0|31965.0|17898.0|6829.0|692.0|</t>
  </si>
  <si>
    <t>51.0|51.0|93.0|99.0|99.0|101.0|104.0|102.0|101.0|103.0|103.0|104.0|104.0|104.0|104.0|104.0|103.0|103.0|104.0|105.0|107.0|</t>
  </si>
  <si>
    <t>108.40909613615455|105.31161753777573|109.34479054779815|110.04471544715452|109.95804195804185|109.63950177935963|109.2941176470588|108.88481906443059|108.52078239608798|108.18232044198905|108.01763990267634|107.8729838709677|107.65184626978139|107.47441457068525|107.22108495394055|107.09456264775419|106.98992805755385|106.92215568862267|107.03623188405798|107.24271844660191|107.5|</t>
  </si>
  <si>
    <t>3.331390810218509|7.165961173397275|3.091049799971565|2.2208960259963457|1.8908940910564953|1.6525420192665798|1.4885128398757796|1.5375468155411693|1.4893865342791683|1.4324252613526152|1.4194701992242154|1.3021368788851468|1.267277870153234|1.2282788322321823|1.1729838644730168|1.1394676436172646|1.101293873706347|1.1887396434177253|1.0693992644515404|0.8298557532566297|0.499999999999999|</t>
  </si>
  <si>
    <t>128.0|128.0|118.0|118.0|118.0|117.0|115.0|115.0|115.0|116.0|117.0|115.0|114.0|112.0|111.0|111.0|111.0|112.0|110.0|109.0|108.0|</t>
  </si>
  <si>
    <t>3770902.0|425143.0|407200.0|378994.0|345928.0|308087.0|271268.0|246733.0|221925.0|195810.0|177581.0|160515.0|142854.0|123918.0|104755.0|90602.0|74358.0|53568.0|29542.0|11046.0|1075.0|</t>
  </si>
  <si>
    <t>Wed Apr 02 17:17:37 CDT 2025</t>
  </si>
  <si>
    <t>73.0 &lt;-&gt; 117.0</t>
  </si>
  <si>
    <t>Cluster(s) of 3828.0  voxels is(are) detected. If more than one cluster the texture calculation is only performed on the largest cluster. (size ok &gt;= 64.0vx)</t>
  </si>
  <si>
    <t>z96.0 y256.0 x353.0</t>
  </si>
  <si>
    <t>z97.48955067920585 y258.912486938349 x367.4736154649948</t>
  </si>
  <si>
    <t>z97.44756885138949 y258.68018795311434 x367.3483861982011</t>
  </si>
  <si>
    <t>-279.0|-279.0|-113.0|-7.0|30.0|47.0|54.0|55.0|50.0|62.0|66.0|78.0|87.0|</t>
  </si>
  <si>
    <t>77.36624869383489|29.05913978494624|86.77434312210201|92.19928825622777|89.7824267782426|88.92525773195884|86.94637223974766|86.13199999999999|88.06091370558379|90.34848484848487|93.11999999999998|98.75862068965516|104.77777777777777|</t>
  </si>
  <si>
    <t>44.341385216031576|72.07365741991786|34.052851324098|21.91010750501515|17.723549588339495|16.35502007441768|14.359301970688271|14.347493718416466|15.755954322955851|14.959533723330667|13.883284913881152|10.162999735055799|8.148316496577381|</t>
  </si>
  <si>
    <t>167.0|167.0|161.0|144.0|156.0|156.0|148.0|132.0|127.0|123.0|118.0|116.0|116.0|</t>
  </si>
  <si>
    <t>3828|744|647|562|478|388|317|250|197|132|75|29|9|</t>
  </si>
  <si>
    <t>10.3223291015625|2.006220703125|1.744656982421875|1.51545166015625|1.28894287109375|1.0462548828125|0.854801025390625|0.67413330078125|0.531217041015625|0.3559423828125|0.202239990234375|0.078199462890625|0.024268798828125|</t>
  </si>
  <si>
    <t>296158.0|21620.0|56143.0|51816.0|42916.0|34503.0|27562.0|21533.0|17348.0|11926.0|6984.0|2864.0|943.0|</t>
  </si>
  <si>
    <t>73.0|73.0|89.0|100.0|104.0|105.0|106.0|106.0|106.0|107.0|107.0|108.0|109.0|</t>
  </si>
  <si>
    <t>108.28265412748156|103.44086021505365|109.22411128284391|109.74555160142343|109.52928870292892|109.45618556701028|109.26182965299687|109.14799999999994|109.3857868020305|109.56060606060603|109.86666666666667|110.48275862068962|111.0|</t>
  </si>
  <si>
    <t>4.445424550499777|7.207131124447255|3.425178131174284|2.213117589379097|1.8048574383362166|1.6561780267490984|1.4486675470354229|1.47989729373359|1.5942157549492377|1.4835337407566007|1.4173527750312853|1.1632501926505456|0.9428090415820637|</t>
  </si>
  <si>
    <t>117.0|117.0|117.0|115.0|116.0|116.0|115.0|114.0|113.0|113.0|112.0|112.0|112.0|</t>
  </si>
  <si>
    <t>414506.0|76960.0|70668.0|61677.0|52355.0|42469.0|34636.0|27287.0|21549.0|14462.0|8240.0|3204.0|999.0|</t>
  </si>
  <si>
    <t>Wed Apr 02 17:18:00 CDT 2025</t>
  </si>
  <si>
    <t>44.0 &lt;-&gt; 131.0</t>
  </si>
  <si>
    <t>Cluster(s) of 24663.0 4116.0  voxels is(are) detected. If more than one cluster the texture calculation is only performed on the largest cluster. (size ok &gt;= 64.0vx)</t>
  </si>
  <si>
    <t>z98.0 y220.0 x413.0</t>
  </si>
  <si>
    <t>z99.31622268174999 y237.8799821595102 x387.088391517658</t>
  </si>
  <si>
    <t>z99.29147715704539 y237.73912478488958 x387.1755128839735</t>
  </si>
  <si>
    <t>-563.0|-563.0|-157.0|-132.0|-18.0|-19.0|-32.0|-7.0|-4.0|-9.0|-6.0|0.0|-10.0|-14.0|-21.0|-9.0|-10.0|15.0|21.0|17.0|36.0|</t>
  </si>
  <si>
    <t>42.011799051210346|0.9983125210934791|53.750632453921206|57.0780525502318|53.86259858862598|49.56631960162965|46.70683544303801|44.590116279069704|42.69424222369286|41.616407982261634|39.42905982905983|39.55811623246501|39.40211019929655|41.2546230440967|41.50448833034111|41.819444444444436|40.292307692307695|40.2016129032258|41.24528301886791|37.470588235294116|36.0|</t>
  </si>
  <si>
    <t>39.93627062774031|87.3439343779318|35.843604469266026|24.687852150638093|20.636081763281037|19.13517867711569|18.387575025055213|17.37266015659984|17.185535987921817|16.29930500023264|15.574815633645933|15.149162468781165|14.61499158858457|16.015702753016566|17.323370686890854|17.99407802961303|16.141416463364884|11.68192692809632|11.031525425877742|12.272003753444972|0.0|</t>
  </si>
  <si>
    <t>302.0|302.0|139.0|128.0|126.0|121.0|126.0|136.0|121.0|114.0|99.0|99.0|109.0|108.0|123.0|116.0|92.0|70.0|71.0|59.0|36.0|</t>
  </si>
  <si>
    <t>24663|2963|2767|2588|2409|2209|1975|1720|1511|1353|1170|998|853|703|557|432|260|124|53|17|1|</t>
  </si>
  <si>
    <t>70.08911796569824|8.420470199584962|7.863463058471679|7.354767761230469|6.846072463989258|6.277697830200196|5.612699508666992|4.888021850585938|4.294070358276367|3.8450543975830076|3.3249916076660155|2.836189422607422|2.4241178131103513|1.9978368377685547|1.582923355102539|1.227689208984375|0.7388870239257812|0.35239227294921877|0.15061927795410157|0.04831184387207031|0.0028418731689453126|</t>
  </si>
  <si>
    <t>1036137.0|2958.0|148728.0|147718.0|129755.0|109492.0|92246.0|76695.0|64511.0|56307.0|46132.0|39479.0|33610.0|29002.0|23118.0|18066.0|10476.0|4985.0|2186.0|637.0|36.0|</t>
  </si>
  <si>
    <t>44.0|44.0|85.0|87.0|99.0|99.0|97.0|100.0|100.0|100.0|100.0|101.0|100.0|99.0|98.0|100.0|100.0|102.0|103.0|102.0|104.0|</t>
  </si>
  <si>
    <t>104.75007095649316|100.64731690853849|105.92880375858333|106.25695517774328|105.93441261934403|105.5079221367136|105.21468354430368|104.99709302325591|104.81998676373257|104.71175166297124|104.49829059829057|104.50801603206405|104.49003516998835|104.66571834992885|104.70736086175941|104.73148148148145|104.57307692307693|104.58870967741942|104.66037735849052|104.29411764705883|104.0|</t>
  </si>
  <si>
    <t>4.0056291604241325|8.747719362768484|3.5971203969482657|2.485982712931764|2.0757387211854605|1.935364733389621|1.8518515096464558|1.7562157826040634|1.7400632894564159|1.6513523649061443|1.5804620608572146|1.5512086798623994|1.4651741886949587|1.6372459842215596|1.7731793051563647|1.8173876320731945|1.6356738654398237|1.2049099603235918|1.1483112494115404|1.317962147200475|0.0|</t>
  </si>
  <si>
    <t>131.0|131.0|114.0|113.0|113.0|113.0|113.0|114.0|113.0|112.0|110.0|110.0|111.0|111.0|113.0|112.0|110.0|108.0|108.0|106.0|104.0|</t>
  </si>
  <si>
    <t>2583451.0|298218.0|293105.0|274993.0|255196.0|233067.0|207799.0|180595.0|158383.0|141675.0|122263.0|104299.0|89130.0|73580.0|58322.0|45244.0|27189.0|12969.0|5547.0|1773.0|104.0|</t>
  </si>
  <si>
    <t>Wed Apr 02 17:20:54 CDT 2025</t>
  </si>
  <si>
    <t>5_Soft Tissue_CT</t>
  </si>
  <si>
    <t>43.0 &lt;-&gt; 125.0</t>
  </si>
  <si>
    <t>Cluster(s) of 116.0 355.0 2220.0 679.0 185.0 455.0 270.0 401.0 401.0 1885.0 401.0 829.0 312.0 325.0 287.0 1213.0 254.0 10218.0 395.0 448.0 1869.0 490.0 436.0 1.0 3355.0 269.0  voxels is(are) detected. If more than one cluster the texture calculation is only performed on the largest cluster. (size ok &gt;= 64.0vx)</t>
  </si>
  <si>
    <t>z118.0 y302.0 x341.0</t>
  </si>
  <si>
    <t>z122.02270503033861 y316.6922098257976 x348.1809551771384</t>
  </si>
  <si>
    <t>z121.94758125102283 y316.1696429226538 x348.08386514941304</t>
  </si>
  <si>
    <t>-580.0|-580.0|-269.0|-148.0|-117.0|-99.0|-60.0|-19.0|-10.0|-13.0|3.0|2.0|</t>
  </si>
  <si>
    <t>33.56410256410251|-13.058367533059709|41.57761732851977|50.00901442307692|50.67208271787293|48.21140609636181|45.01086956521733|44.561938958707366|42.95128205128206|43.80555555555556|41.861111111111114|32.659090909090914|</t>
  </si>
  <si>
    <t>63.49557968042257|108.65550368506867|46.79701191511728|34.81825118893194|30.754548422799996|27.384791257585213|22.658197271444216|19.087021406876957|17.05391708962883|17.908439110040398|19.537456112760037|14.614661352432393|</t>
  </si>
  <si>
    <t>240.0|240.0|240.0|177.0|173.0|168.0|160.0|108.0|101.0|98.0|119.0|84.0|</t>
  </si>
  <si>
    <t>10218|2193|1939|1664|1354|1017|736|557|390|216|108|44|</t>
  </si>
  <si>
    <t>8.906137023925782|1.9114463195800782|1.6900567321777344|1.45036328125|1.1801633911132812|0.8864299621582031|0.6415068359375|0.48548818969726565|0.3399288940429688|0.188268310546875|0.0941341552734375|0.0383509521484375|</t>
  </si>
  <si>
    <t>342958.0|-28637.0|80619.0|83215.0|68610.0|49031.0|33128.0|24821.0|16751.0|9462.0|4521.0|1437.0|</t>
  </si>
  <si>
    <t>43.0|43.0|74.0|86.0|89.0|91.0|95.0|99.0|100.0|99.0|101.0|101.0|</t>
  </si>
  <si>
    <t>103.9076140144846|99.24167806657566|104.71376998452799|105.55348557692311|105.60930576070892|105.38053097345134|105.05570652173915|105.01256732495513|104.82564102564105|104.94444444444437|104.75925925925928|103.77272727272728|</t>
  </si>
  <si>
    <t>6.35658895158403|10.87062564348783|4.693501281146996|3.4875499534310026|3.0823654744898805|2.7540502957888826|2.289127192878293|1.9076111508685327|1.7232524330638497|1.8044868632124114|1.980789079440079|1.4595085780002117|</t>
  </si>
  <si>
    <t>125.0|125.0|125.0|118.0|118.0|117.0|117.0|111.0|111.0|110.0|112.0|109.0|</t>
  </si>
  <si>
    <t>1061728.0|217637.0|203040.0|175641.0|142995.0|107172.0|77321.0|58492.0|40882.0|22668.0|11314.0|4566.0|</t>
  </si>
  <si>
    <t>Wed Apr 02 17:22:50 CDT 2025</t>
  </si>
  <si>
    <t>8.0 &lt;-&gt; 125.0</t>
  </si>
  <si>
    <t>Cluster(s) of 22780.0  voxels is(are) detected. If more than one cluster the texture calculation is only performed on the largest cluster. (size ok &gt;= 64.0vx)</t>
  </si>
  <si>
    <t>z57.0 y243.0 x335.0</t>
  </si>
  <si>
    <t>z59.14310798946444 y223.97054433713782 x343.52589991220367</t>
  </si>
  <si>
    <t>z59.197157353903265 y224.2169839331827 x343.4714145441237</t>
  </si>
  <si>
    <t>-922.0|-922.0|-440.0|-108.0|-69.0|-66.0|-55.0|-46.0|-44.0|-41.0|-38.0|-19.0|-33.0|-24.0|-9.0|1.0|</t>
  </si>
  <si>
    <t>23.773266022827084|-1.5383565383565434|23.844868035190547|28.043703463904112|28.14128787878788|29.007299270073|27.89526462395538|29.289320388349548|30.15668202764978|30.01053639846742|32.83984867591423|37.76923076923075|36.8663101604278|38.58685446009393|39.635593220338976|37.533333333333324|</t>
  </si>
  <si>
    <t>49.904644771348785|99.97365249533806|43.304104141983686|29.873354674883117|26.524519100124767|25.775224014507227|25.08217480396284|25.68771473944095|26.075160724524785|23.3185274063765|23.403437433628465|22.591598261205352|21.25307876457712|20.31901017797425|21.252184435774065|19.181124981490413|</t>
  </si>
  <si>
    <t>241.0|228.0|191.0|176.0|139.0|189.0|220.0|232.0|241.0|142.0|103.0|101.0|117.0|106.0|98.0|82.0|</t>
  </si>
  <si>
    <t>22780|3663|3410|3089|2640|2192|1795|1545|1302|1044|793|572|374|213|118|30|</t>
  </si>
  <si>
    <t>40.0596533203125|6.441550048828125|5.99663818359375|5.432145263671875|4.64255859375|3.85473046875|3.156588134765625|2.716951904296875|2.28962548828125|1.8359208984375|1.394526123046875|1.0058876953125|0.65769580078125|0.374570068359375|0.20750830078125|0.05275634765625|</t>
  </si>
  <si>
    <t>541555.0|-5635.0|81311.0|86627.0|74293.0|63584.0|50072.0|45252.0|39264.0|31331.0|26042.0|21604.0|13788.0|8219.0|4677.0|1126.0|</t>
  </si>
  <si>
    <t>8.0|8.0|57.0|90.0|94.0|94.0|95.0|96.0|96.0|96.0|97.0|99.0|97.0|98.0|100.0|101.0|</t>
  </si>
  <si>
    <t>102.92704126426696|100.40021840021839|102.9354838709677|103.35480738102923|103.3549242424242|103.45574817518249|103.32924791086349|103.48996763754043|103.56451612903231|103.53831417624536|103.8335435056747|104.32342657342654|104.23796791443858|104.38967136150238|104.5762711864407|104.36666666666669|</t>
  </si>
  <si>
    <t>4.998369982685431|10.00452095218659|4.336160661460548|3.0022723190107268|2.661768891287223|2.5852003315222065|2.5320689113778854|2.58250204790463|2.6153981943821965|2.3682663027209676|2.3523291408348883|2.2644895085027525|2.1493817389968384|2.0677007222935537|2.1329011819307646|1.9745604292826502|</t>
  </si>
  <si>
    <t>125.0|123.0|120.0|118.0|114.0|119.0|123.0|124.0|125.0|115.0|111.0|111.0|112.0|111.0|110.0|109.0|</t>
  </si>
  <si>
    <t>2344678.0|367766.0|351010.0|319263.0|272857.0|226775.0|185476.0|159892.0|134841.0|108094.0|82340.0|59673.0|38985.0|22235.0|12340.0|3131.0|</t>
  </si>
  <si>
    <t>Wed Apr 02 17:24:30 CDT 2025</t>
  </si>
  <si>
    <t>34.0 &lt;-&gt; 120.0</t>
  </si>
  <si>
    <t>Cluster(s) of 13218.0  voxels is(are) detected. If more than one cluster the texture calculation is only performed on the largest cluster. (size ok &gt;= 64.0vx)</t>
  </si>
  <si>
    <t>z106.0 y326.0 x189.0</t>
  </si>
  <si>
    <t>z105.98411257376306 y326.2175064306249 x189.8904524133757</t>
  </si>
  <si>
    <t>z105.98251346848228 y326.07669316082985 x190.21463641174813</t>
  </si>
  <si>
    <t>-666.0|-666.0|-318.0|-223.0|-99.0|-56.0|-45.0|-15.0|-11.0|-7.0|7.0|6.0|0.0|14.0|14.0|37.0|44.0|</t>
  </si>
  <si>
    <t>43.613859888031755|-10.782758620689666|45.20373665480431|57.31641961231466|61.047550432276594|61.16723549488049|61.290513833992144|61.99537037037038|61.94316436251913|59.338362068965566|60.872928176795575|61.053191489361694|58.16759776536313|54.072072072072054|50.318840579710134|64.84615384615383|72.46153846153847|</t>
  </si>
  <si>
    <t>58.84893191706564|89.58209023278205|51.004651803638126|42.24813616904051|35.445689080663584|30.751775412036356|28.059517998869108|26.168877770200893|27.530541539951056|27.6180022013368|28.130131438382907|26.162083584339573|25.10502765946179|22.43176307840327|19.767117149318334|25.05740942831846|23.6890607165657|</t>
  </si>
  <si>
    <t>195.0|166.0|157.0|162.0|162.0|151.0|141.0|139.0|135.0|126.0|195.0|151.0|116.0|117.0|103.0|158.0|123.0|</t>
  </si>
  <si>
    <t>13218|2610|2248|1754|1388|1172|1012|864|651|464|362|282|179|111|69|39|13|</t>
  </si>
  <si>
    <t>40.74252456665039|8.044937896728516|6.929126586914062|5.406444854736328|4.278304138183594|3.612516174316406|3.119339904785156|2.66315185546875|2.0066109466552735|1.430211181640625|1.115811309814453|0.8692231750488282|0.5517409515380859|0.3421410369873047|0.21268226623535155|0.12021171569824218|0.04007057189941406|</t>
  </si>
  <si>
    <t>576488.0|-28143.0|101618.0|100533.0|84734.0|71688.0|62026.0|53564.0|40325.0|27533.0|22036.0|17217.0|10412.0|6002.0|3472.0|2529.0|942.0|</t>
  </si>
  <si>
    <t>34.0|34.0|69.0|78.0|91.0|95.0|96.0|99.0|99.0|100.0|101.0|101.0|101.0|102.0|102.0|104.0|105.0|</t>
  </si>
  <si>
    <t>104.91125737630485|99.4620689655173|105.06494661921707|106.28278221208667|106.6585014409221|106.67747440273027|106.68577075098834|106.75810185185193|106.7281105990784|106.50215517241384|106.65193370165747|106.65248226950351|106.38547486033522|105.94594594594592|105.55072463768117|106.99999999999997|107.84615384615385|</t>
  </si>
  <si>
    <t>5.898475975246893|8.977083314649347|5.110370700665276|4.240472587661371|3.550797459137774|3.0766772839238503|2.8231949878709584|2.6322526103018706|2.7721667913295978|2.765239063692288|2.8343510693904563|2.6201234760651|2.5107614579107334|2.257471430237693|2.003881970865824|2.4703368398993897|2.38089039085264|</t>
  </si>
  <si>
    <t>120.0|117.0|116.0|117.0|117.0|116.0|115.0|114.0|114.0|113.0|120.0|116.0|112.0|112.0|111.0|116.0|113.0|</t>
  </si>
  <si>
    <t>1386717.0|259596.0|236186.0|186420.0|148042.0|125026.0|107966.0|92239.0|69480.0|49417.0|38608.0|30076.0|19043.0|11760.0|7283.0|4173.0|1402.0|</t>
  </si>
  <si>
    <t>No visible lesion except for spine meta</t>
  </si>
  <si>
    <t>Wed Apr 02 17:25:18 CDT 2025</t>
  </si>
  <si>
    <t>60.0 &lt;-&gt; 110.0</t>
  </si>
  <si>
    <t>Cluster(s) of 324.0  voxels is(are) detected. If more than one cluster the texture calculation is only performed on the largest cluster. (size ok &gt;= 64.0vx)</t>
  </si>
  <si>
    <t>z119.0 y294.0 x215.0</t>
  </si>
  <si>
    <t>z118.52160493827161 y297.25308641975306 x219.48148148148147</t>
  </si>
  <si>
    <t>z118.64578891257996 y295.4371002132196 x220.60527718550105</t>
  </si>
  <si>
    <t>-406.0|-406.0|-118.0|-93.0|3.0|39.0|</t>
  </si>
  <si>
    <t>-11.580246913580252|-61.5675675675676|26.03092783505155|35.25925925925927|37.16666666666667|39.0|</t>
  </si>
  <si>
    <t>80.02917896841618|89.82213371376838|38.0085323053272|30.778290319750685|13.951304200284964|0.0|</t>
  </si>
  <si>
    <t>99.0|76.0|99.0|90.0|61.0|39.0|</t>
  </si>
  <si>
    <t>324|148|97|54|24|1|</t>
  </si>
  <si>
    <t>1.1109814453125|0.5074853515625|0.332608642578125|0.18516357421875|0.082294921875|0.003428955078125|</t>
  </si>
  <si>
    <t>-3752.0|-9112.0|2525.0|1904.0|892.0|39.0|</t>
  </si>
  <si>
    <t>60.0|60.0|89.0|91.0|101.0|104.0|</t>
  </si>
  <si>
    <t>99.37962962962965|94.36486486486488|103.14432989690722|104.09259259259255|104.29166666666667|104.0|</t>
  </si>
  <si>
    <t>8.028557354603574|9.01586338346506|3.78273258215212|3.110725284717722|1.3987841942995438|0.0|</t>
  </si>
  <si>
    <t>110.0|108.0|110.0|110.0|107.0|104.0|</t>
  </si>
  <si>
    <t>32199.0|13966.0|10005.0|5621.0|2503.0|104.0|</t>
  </si>
  <si>
    <t>Wed Apr 02 17:25:41 CDT 2025</t>
  </si>
  <si>
    <t>2_Soft Tissue_CT</t>
  </si>
  <si>
    <t>42.0 &lt;-&gt; 116.0</t>
  </si>
  <si>
    <t>Cluster(s) of 9830.0 5872.0  voxels is(are) detected. If more than one cluster the texture calculation is only performed on the largest cluster. (size ok &gt;= 64.0vx)</t>
  </si>
  <si>
    <t>z51.0 y309.0 x300.0</t>
  </si>
  <si>
    <t>z47.69338758901323 y335.57527975584946 x306.283011190234</t>
  </si>
  <si>
    <t>z47.73578902662212 y335.3722488340766 x306.21552197869</t>
  </si>
  <si>
    <t>-586.0|-586.0|-317.0|-503.0|-368.0|-99.0|-64.0|-31.0|15.0|5.0|3.0|25.0|30.0|28.0|30.0|59.0|</t>
  </si>
  <si>
    <t>41.56154628687726|-2.680694371383482|38.34181818181813|50.97839721254351|54.37119999999999|55.76840039254177|58.324360699865416|59.239299610894925|59.56626506024091|59.99101796407183|57.759825327510896|60.362500000000004|62.28431372549021|60.12499999999999|57.0|66.0|</t>
  </si>
  <si>
    <t>51.400132074374255|80.69101607010407|42.846330167418415|42.505980971352635|34.91039688345004|25.42377517123389|19.19934488393245|16.88053504254782|14.541500868067509|15.638790733635888|15.267311084222236|15.059252762006485|13.811317787916956|11.535755749593768|12.5210933139953|6.670832032063165|</t>
  </si>
  <si>
    <t>151.0|151.0|115.0|118.0|132.0|139.0|124.0|112.0|101.0|97.0|96.0|102.0|90.0|79.0|79.0|76.0|</t>
  </si>
  <si>
    <t>9830|1901|1650|1435|1250|1019|743|514|415|334|229|160|102|56|18|4|</t>
  </si>
  <si>
    <t>15.400623321533203|2.9782894134521483|2.5850486755371094|2.248208999633789|1.9583702087402344|1.596463394165039|1.1640552520751952|0.8052818298339843|0.6501789093017578|0.5232765197753906|0.35877342224121095|0.25067138671875|0.15980300903320313|0.0877349853515625|0.028200531005859376|0.00626678466796875|</t>
  </si>
  <si>
    <t>408550.0|-5096.0|63264.0|73154.0|67964.0|56828.0|43335.0|30449.0|24720.0|20037.0|13227.0|9658.0|6353.0|3367.0|1026.0|264.0|</t>
  </si>
  <si>
    <t>42.0|42.0|69.0|50.0|64.0|91.0|94.0|97.0|102.0|101.0|101.0|103.0|104.0|103.0|104.0|106.0|</t>
  </si>
  <si>
    <t>104.70020345879955|100.28037874802729|104.37212121212134|105.62578397212548|105.98400000000001|106.1315014720314|106.37550471063254|106.47665369649809|106.5060240963855|106.5538922155689|106.33187772925761|106.6|106.75490196078434|106.53571428571428|106.16666666666666|107.0|</t>
  </si>
  <si>
    <t>5.148590653420459|8.07792004674405|4.295982448454463|4.261982165754161|3.5003634097047667|2.548138846820738|1.954473140441507|1.7107009533139383|1.4838365608039197|1.5806937195703343|1.5480333947184073|1.53785564992297|1.3535449065020795|1.1946949059769796|1.2133516482134201|0.7071067811865462|</t>
  </si>
  <si>
    <t>116.0|116.0|112.0|112.0|114.0|114.0|113.0|112.0|111.0|110.0|110.0|111.0|110.0|108.0|108.0|108.0|</t>
  </si>
  <si>
    <t>1029203.0|190633.0|172214.0|151573.0|132480.0|108148.0|79037.0|54729.0|44200.0|35589.0|24350.0|17056.0|10889.0|5966.0|1911.0|428.0|</t>
  </si>
  <si>
    <t>Wed Apr 02 17:26:07 CDT 2025</t>
  </si>
  <si>
    <t>7_AXIAL 5.0_CT</t>
  </si>
  <si>
    <t>41.0 &lt;-&gt; 139.0</t>
  </si>
  <si>
    <t>Cluster(s) of 149788.0 159.0 742.0  voxels is(are) detected. If more than one cluster the texture calculation is only performed on the largest cluster. (size ok &gt;= 64.0vx)</t>
  </si>
  <si>
    <t>z36.0 y333.0 x348.0</t>
  </si>
  <si>
    <t>z31.518960130317517 y365.63014393676394 x330.6157769647769</t>
  </si>
  <si>
    <t>z31.501013667282272 y365.5013907530209 x330.6564822785338</t>
  </si>
  <si>
    <t>-591.0|-591.0|-235.0|-152.0|-93.0|-141.0|-107.0|-49.0|-25.0|-26.0|-26.0|-33.0|-29.0|-36.0|-25.0|-29.0|-31.0|-24.0|-27.0|-24.0|-34.0|-24.0|-21.0|-32.0|-27.0|-30.0|-28.0|-24.0|-17.0|-20.0|-18.0|-16.0|-17.0|-23.0|-10.0|-4.0|-3.0|-7.0|9.0|</t>
  </si>
  <si>
    <t>28.12523032552669|32.91880108991824|33.534225019669485|32.99091650168854|31.507123883119995|30.391609267376385|29.647356799584387|28.991302020607627|28.680211522404633|27.847542186353632|27.22597200622083|26.86414909269251|26.382237403928293|26.166250890947964|25.503364485981333|24.986896147076113|24.86987852583904|24.816021126760546|24.36449928808735|24.615228426395937|25.189767190037955|25.451688009313187|25.491992312620074|24.726489590811205|24.499999999999954|25.41993539455468|25.596280087527333|25.301432291666693|25.502775574940532|24.964321110009926|24.352490421455915|25.367972742759807|25.807017543859644|24.287449392712542|28.01219512195122|28.759036144578314|22.536585365853657|12.733333333333336|9.0|</t>
  </si>
  <si>
    <t>22.93165139922886|55.24506167957021|32.38277000571188|24.48626048507706|20.616067192314166|18.98126300790316|18.734940521005374|19.08480245682893|17.98910796284744|17.757494966580534|17.014835090847463|16.72073023721912|16.480801929128276|16.046217371435304|15.915239504742553|15.480403579422035|15.057994833512206|14.768088348338862|14.29977820257977|14.583652330714392|14.890867878768544|14.527491703486245|14.915502984432289|15.476234995296746|14.78685635612646|14.430008002779923|14.424519733150724|14.891784928785649|14.536978478606231|15.052952966868512|14.840088979660392|14.529328729671644|13.92138150597059|14.25343073882166|12.940288667228243|14.249574385058665|12.831169292525306|11.941338097363944|0.0|</t>
  </si>
  <si>
    <t>385.0|385.0|274.0|235.0|182.0|196.0|188.0|178.0|204.0|160.0|167.0|170.0|165.0|153.0|157.0|154.0|140.0|133.0|87.0|75.0|92.0|87.0|105.0|125.0|103.0|82.0|72.0|90.0|84.0|85.0|68.0|65.0|67.0|64.0|61.0|60.0|44.0|31.0|9.0|</t>
  </si>
  <si>
    <t>149788|9175|8897|8587|8282|7985|7699|7473|7186|6815|6430|6117|5855|5612|5350|5113|4857|4544|4214|3940|3694|3436|3122|2786|2498|2167|1828|1536|1261|1009|783|587|399|247|164|83|41|15|1|</t>
  </si>
  <si>
    <t>334.1637350463867|20.468610763549805|19.848417434692383|19.15683494567871|18.476407012939454|17.81382637023926|17.175785751342772|16.67159980773926|16.03132827758789|15.203660202026366|14.344759368896485|13.646484146118164|13.061985397338868|12.519873962402343|11.935375213623047|11.40664924621582|10.835535964965821|10.1372607421875|9.401060028076172|8.78979034423828|8.24098617553711|7.665411071777344|6.964904937744141|6.215318756103516|5.572816314697266|4.8343846893310545|4.078105773925781|3.4266796875|2.8131790924072266|2.250989456176758|1.7468035125732422|1.309544906616211|0.8901335906982422|0.5510350799560547|0.36586944580078123|0.18516563415527343|0.09146736145019531|0.033463668823242185|0.0022309112548828127|</t>
  </si>
  <si>
    <t>4212822.0|302030.0|298354.0|283293.0|260942.0|242677.0|228255.0|216652.0|206096.0|189781.0|175063.0|164328.0|154468.0|146845.0|136443.0|127758.0|120793.0|112764.0|102672.0|96984.0|93051.0|87452.0|79586.0|68888.0|61201.0|55085.0|46790.0|38863.0|32159.0|25189.0|19068.0|14891.0|10297.0|5999.0|4594.0|2387.0|924.0|191.0|9.0|</t>
  </si>
  <si>
    <t>41.0|41.0|77.0|85.0|91.0|86.0|90.0|96.0|98.0|98.0|98.0|97.0|98.0|97.0|98.0|98.0|97.0|98.0|98.0|98.0|97.0|98.0|98.0|97.0|98.0|98.0|98.0|98.0|99.0|99.0|99.0|99.0|99.0|98.0|100.0|100.0|100.0|100.0|101.0|</t>
  </si>
  <si>
    <t>103.36122386305831|103.84141689373284|103.90693492188383|103.8452311633864|103.69306930693051|103.58559799624292|103.51863878425776|103.45028770239531|103.4109379348732|103.33191489361697|103.27496111975157|103.23426516266161|103.18206660973536|103.16910192444745|103.10018691588775|103.05574026990053|103.03253036854017|103.03323063380266|102.98742287612707|103.01091370558349|103.06469951272314|103.09400465657727|103.10249839846264|103.02476669059584|102.99639711769422|103.08721735117692|103.09956236323855|103.08007812500001|103.09992069785869|103.03666997026755|102.99361430395913|103.0698466780239|103.1127819548872|102.99190283400804|103.32926829268295|103.36144578313255|102.8048780487805|101.86666666666665|101.0|</t>
  </si>
  <si>
    <t>2.3115117633379194|5.532605966685408|3.249971980327568|2.4662933786782872|2.0808861570323764|1.9152273104101074|1.8930377884184506|1.93379592794743|1.821551268250918|1.7988831829470373|1.7269192780467797|1.698998061389493|1.674744177617868|1.6340397596614764|1.6202168894320277|1.5758490472286912|1.5406682571406995|1.5122724318308718|1.458680497127209|1.488580108273045|1.5190129457337558|1.4729454323826459|1.5153707990817955|1.5832136185411814|1.5037939175767845|1.4652592722606559|1.4706984247676729|1.5281964431631418|1.4798166271052313|1.531189841309345|1.478223395861147|1.4767570519424313|1.4159181086139638|1.4425346081886288|1.3394108465381032|1.4609644714432903|1.3292123505793856|1.2036980056845192|0.0|</t>
  </si>
  <si>
    <t>139.0|139.0|128.0|124.0|119.0|120.0|119.0|118.0|121.0|117.0|117.0|118.0|117.0|116.0|116.0|116.0|115.0|114.0|109.0|108.0|110.0|109.0|111.0|113.0|111.0|109.0|108.0|110.0|109.0|109.0|107.0|107.0|107.0|107.0|107.0|107.0|105.0|104.0|101.0|</t>
  </si>
  <si>
    <t>1.5482271E7|952745.0|924460.0|891719.0|858786.0|827131.0|796990.0|773084.0|743111.0|704207.0|664058.0|631484.0|604131.0|578985.0|551586.0|526924.0|500429.0|468183.0|433989.0|405863.0|380721.0|354231.0|321886.0|287027.0|257285.0|223390.0|188466.0|158331.0|130009.0|103964.0|80644.0|60502.0|41142.0|25439.0|16946.0|8579.0|4215.0|1528.0|101.0|</t>
  </si>
  <si>
    <t>Wed Apr 02 17:26:57 CDT 2025</t>
  </si>
  <si>
    <t>27.0 &lt;-&gt; 183.0</t>
  </si>
  <si>
    <t>Cluster(s) of 27265.0  voxels is(are) detected. If more than one cluster the texture calculation is only performed on the largest cluster. (size ok &gt;= 64.0vx)</t>
  </si>
  <si>
    <t>z137.0 y233.0 x205.0</t>
  </si>
  <si>
    <t>z141.53544837704015 y246.9231248853842 x225.20645516229598</t>
  </si>
  <si>
    <t>z141.53276388216833 y246.47802428417518 x225.3654239705501</t>
  </si>
  <si>
    <t>-733.0|-733.0|-241.0|-229.0|-172.0|-167.0|-86.0|-58.0|-51.0|-57.0|-52.0|-49.0|-49.0|-19.0|-2.0|</t>
  </si>
  <si>
    <t>35.285494223363386|14.986284026165869|36.87152856175199|39.196169899337114|40.7869955156952|41.164154103852624|41.93660789252718|43.14994232987305|40.83436532507746|38.44633368756646|34.44080996884734|30.60542168674702|29.242990654205606|16.65625|11.222222222222221|</t>
  </si>
  <si>
    <t>57.314961346642065|98.77811005507391|51.64092180277417|46.157195355611755|42.117681985314924|39.18701270386616|37.057750037797554|35.35673379377896|34.83297779754477|34.131248515699006|33.974982796784005|35.03042181494569|35.35688306173261|19.46568996818505|9.61223500172541|</t>
  </si>
  <si>
    <t>828.0|828.0|295.0|244.0|202.0|198.0|182.0|174.0|163.0|150.0|141.0|157.0|133.0|67.0|28.0|</t>
  </si>
  <si>
    <t>27265|4739|4429|4073|3568|2985|2382|1734|1292|941|642|332|107|32|9|</t>
  </si>
  <si>
    <t>21.473590078353883|3.7323800983428956|3.4882277812957763|3.2078464107513427|2.8101144104003906|2.3509505367279053|1.8760349006652832|1.3656777992248534|1.017563850402832|0.7411204204559326|0.5056315727233887|0.2614792556762695|0.08427192878723144|0.02520281982421875|0.007088293075561523|</t>
  </si>
  <si>
    <t>962059.0|71020.0|163304.0|159646.0|145528.0|122875.0|99893.0|74822.0|52758.0|36178.0|22111.0|10161.0|3129.0|533.0|101.0|</t>
  </si>
  <si>
    <t>27.0|27.0|76.0|78.0|83.0|84.0|92.0|95.0|95.0|95.0|95.0|96.0|96.0|99.0|100.0|</t>
  </si>
  <si>
    <t>104.07643498991374|102.05296476049782|104.23233235493323|104.46845077338561|104.6275224215248|104.6643216080402|104.73887489504615|104.85236447520185|104.62770897832813|104.39638682252917|103.98442367601253|103.62349397590361|103.49532710280373|102.15625000000001|101.55555555555556|</t>
  </si>
  <si>
    <t>5.740506029987529|9.89055647443272|5.16881268007818|4.62802965246817|4.228810845973363|3.9305380118245115|3.717545267342872|3.545893323432068|3.483478033434984|3.410795469310849|3.4014483438786773|3.501263432456588|3.5079984222326734|1.9057376360611633|1.065740338513939|</t>
  </si>
  <si>
    <t>183.0|183.0|130.0|125.0|121.0|120.0|119.0|118.0|117.0|116.0|115.0|116.0|114.0|107.0|103.0|</t>
  </si>
  <si>
    <t>2837644.0|483629.0|461645.0|425500.0|373311.0|312423.0|249488.0|181814.0|135179.0|98237.0|66758.0|34403.0|11074.0|3269.0|914.0|</t>
  </si>
  <si>
    <t>Wed Apr 02 17:27:40 CDT 2025</t>
  </si>
  <si>
    <t>49.0 &lt;-&gt; 121.0</t>
  </si>
  <si>
    <t>Cluster(s) of 167.0 138.0 3252.0 1171.0 1.0 3017.0 28.0 200.0  voxels is(are) detected. If more than one cluster the texture calculation is only performed on the largest cluster. (size ok &gt;= 64.0vx)</t>
  </si>
  <si>
    <t>z237.0 y325.0 x219.0</t>
  </si>
  <si>
    <t>z238.429889298893 y339.9837023370234 x223.23062730627305</t>
  </si>
  <si>
    <t>z238.40383138705783 y339.9428518298431 x223.3159765097738</t>
  </si>
  <si>
    <t>-513.0|-513.0|-253.0|-116.0|-51.0|-18.0|</t>
  </si>
  <si>
    <t>11.20325953259532|-8.86109510086455|30.55313092979127|42.389920424403186|42.19230769230769|41.5|</t>
  </si>
  <si>
    <t>71.48734103234521|84.32664472694562|45.021084293853285|37.5481894330724|28.401903914290806|33.11721606657178|</t>
  </si>
  <si>
    <t>202.0|202.0|177.0|141.0|95.0|76.0|</t>
  </si>
  <si>
    <t>3252|1735|1054|377|78|8|</t>
  </si>
  <si>
    <t>2.9531044006347655|1.5755338668823242|0.957125473022461|0.3423494338989258|0.07083091735839844|0.00726470947265625|</t>
  </si>
  <si>
    <t>36433.0|-15374.0|32203.0|15981.0|3291.0|332.0|</t>
  </si>
  <si>
    <t>49.0|49.0|75.0|89.0|95.0|99.0|</t>
  </si>
  <si>
    <t>101.66297662976619|99.65994236311242|103.60721062618596|104.74801061007955|104.73076923076923|104.62500000000001|</t>
  </si>
  <si>
    <t>7.153273242155957|8.435118232320148|4.517453523506444|3.7695770182394672|2.929396003743016|3.1991209730174353|</t>
  </si>
  <si>
    <t>121.0|121.0|118.0|115.0|110.0|108.0|</t>
  </si>
  <si>
    <t>330608.0|172910.0|109202.0|39490.0|8169.0|837.0|</t>
  </si>
  <si>
    <t>Wed Apr 02 17:28:16 CDT 2025</t>
  </si>
  <si>
    <t>2_DE Chest/Abd/Pelvis  F_0.6_CT</t>
  </si>
  <si>
    <t>34.0 &lt;-&gt; 138.0</t>
  </si>
  <si>
    <t>Cluster(s) of 821.0 4810.0 4289.0 53605.0  voxels is(are) detected. If more than one cluster the texture calculation is only performed on the largest cluster. (size ok &gt;= 64.0vx)</t>
  </si>
  <si>
    <t>z236.0 y283.0 x341.0</t>
  </si>
  <si>
    <t>z245.13621863632125 y273.15114261729315 x323.5929484189908</t>
  </si>
  <si>
    <t>z245.08387280808032 y273.0582621224622 x323.5551685136507</t>
  </si>
  <si>
    <t>-663.0|-663.0|-467.0|-400.0|-379.0|-143.0|-139.0|-373.0|-364.0|-142.0|5.0|30.0|20.0|33.0|22.0|32.0|34.0|37.0|51.0|55.0|74.0|</t>
  </si>
  <si>
    <t>66.84311165003297|46.571562867215036|67.04519774011264|70.96322314049605|70.0585753691386|71.2421952674487|70.88282625094321|70.4192516789254|70.42659279778393|70.85247524752481|71.8466220328667|73.15997023809523|73.4514338575392|74.27651966626934|76.35312500000005|78.3939393939394|80.65951742627344|81.34509803921569|84.66393442622955|95.07999999999998|101.62499999999999|</t>
  </si>
  <si>
    <t>39.86103895326439|73.49409907662692|37.565829172255995|30.615902664260236|29.649304678800686|23.891178881512452|21.80764536319509|25.491418077511337|24.48869402251517|18.939089934221116|15.864485245965794|15.443122563876898|16.53784100995658|17.325250349909474|18.93080301345864|19.633211494100625|19.535885637696598|17.343318923000236|17.407653609617274|21.05596352580427|22.49965277509855|</t>
  </si>
  <si>
    <t>374.0|374.0|202.0|179.0|175.0|163.0|163.0|159.0|151.0|138.0|146.0|157.0|155.0|138.0|151.0|139.0|135.0|139.0|127.0|139.0|142.0|</t>
  </si>
  <si>
    <t>53605|8510|8142|7260|6163|5029|3977|3127|2527|2020|1643|1344|1081|839|640|495|373|255|122|50|8|</t>
  </si>
  <si>
    <t>41.87890625|6.6484375|6.3609375|5.671875|4.81484375|3.92890625|3.10703125|2.44296875|1.97421875|1.578125|1.28359375|1.05|0.84453125|0.65546875|0.5|0.38671875|0.29140625|0.19921875|0.0953125|0.0390625|0.00625|</t>
  </si>
  <si>
    <t>3583125.0|396324.0|545882.0|515193.0|431771.0|358277.0|281901.0|220201.0|177968.0|143122.0|118044.0|98327.0|79401.0|62318.0|48866.0|38805.0|30086.0|20743.0|10329.0|4754.0|813.0|</t>
  </si>
  <si>
    <t>34.0|34.0|54.0|61.0|63.0|86.0|87.0|63.0|64.0|86.0|101.0|104.0|103.0|104.0|103.0|104.0|104.0|104.0|106.0|106.0|108.0|</t>
  </si>
  <si>
    <t>107.23434381121145|105.20963572267925|107.26062392532587|107.64696969696936|107.55151711828684|107.66971564923439|107.64043248679904|107.59066197633527|107.59042342698868|107.64504950495025|107.71637248934863|107.8623511904762|107.87511563367255|107.9916567342074|108.17812500000004|108.40404040404047|108.59785522788201|108.6980392156863|109.02459016393442|110.08|110.75|</t>
  </si>
  <si>
    <t>3.993890897407317|7.3530093271921|3.7694383783062606|3.0687751016368194|2.9718347209737845|2.4032025135665633|2.198235654791398|2.560932990869786|2.460216758858272|1.9189648218892124|1.6082996809320877|1.5558871900281925|1.6714782686966236|1.7606957657208286|1.9144572297063729|1.9995918367304384|1.9714301800754535|1.762072108657646|1.7577142140472943|2.0769207977195463|2.3848480035423663|</t>
  </si>
  <si>
    <t>138.0|138.0|121.0|118.0|118.0|117.0|117.0|116.0|116.0|114.0|115.0|116.0|116.0|114.0|116.0|114.0|114.0|114.0|113.0|114.0|115.0|</t>
  </si>
  <si>
    <t>5748297.0|895334.0|873316.0|781517.0|662840.0|541471.0|428086.0|336436.0|271881.0|217443.0|176978.0|144967.0|116613.0|90605.0|69234.0|53660.0|40507.0|27718.0|13301.0|5504.0|886.0|</t>
  </si>
  <si>
    <t>Wed Apr 02 17:28:58 CDT 2025</t>
  </si>
  <si>
    <t>200_Chest Abdomen Pelvis_CT</t>
  </si>
  <si>
    <t>1.0 &lt;-&gt; 180.0</t>
  </si>
  <si>
    <t>Cluster(s) of 511.0 243.0 10780.0 684.0 340.0  voxels is(are) detected. If more than one cluster the texture calculation is only performed on the largest cluster. (size ok &gt;= 64.0vx)</t>
  </si>
  <si>
    <t>z271.0 y281.0 x204.0</t>
  </si>
  <si>
    <t>z265.8074211502783 y273.19768089053804 x182.64406307977737</t>
  </si>
  <si>
    <t>z265.4337141369157 y273.07864272789794 x182.58428267154522</t>
  </si>
  <si>
    <t>-1041.0|-1041.0|-407.0|-112.0|-87.0|-36.0|-31.0|-17.0|23.0|20.0|49.0|</t>
  </si>
  <si>
    <t>69.46706864564013|41.614071752002914|84.0213903743316|80.84179970972434|77.83563362609773|77.6186274509805|70.40825688073389|66.7818181818182|65.12264150943399|72.56249999999999|56.333333333333336|</t>
  </si>
  <si>
    <t>98.531134861257|171.4010478058959|64.56599048886119|40.5762272990173|34.30983756274876|32.4814373244955|30.836403568427514|26.499530636729048|21.233518727491436|17.945991021673894|7.717224601860151|</t>
  </si>
  <si>
    <t>791.0|708.0|791.0|640.0|188.0|193.0|175.0|123.0|116.0|103.0|67.0|</t>
  </si>
  <si>
    <t>10780|2871|2431|2067|1594|1020|436|220|106|32|3|</t>
  </si>
  <si>
    <t>12.155055165671385|3.2372136716737057|2.741088971034057|2.33065853686853|1.797324483680908|1.1501072605737301|0.4916144760883788|0.24806235031982418|0.11952095060864255|0.03608179641015624|0.0033826684134521477|</t>
  </si>
  <si>
    <t>748855.0|119474.0|204256.0|167100.0|124070.0|79171.0|30698.0|14692.0|6903.0|2322.0|169.0|</t>
  </si>
  <si>
    <t>1.0|1.0|60.0|89.0|92.0|97.0|97.0|99.0|103.0|103.0|105.0|</t>
  </si>
  <si>
    <t>107.49814471242996|104.71055381400214|108.95886466474694|108.63376874697641|108.32810539523207|108.32156862745099|107.58715596330276|107.2454545454546|107.06603773584905|107.78125|106.0|</t>
  </si>
  <si>
    <t>9.854154275415853|17.136415303062165|6.4577189061132225|4.065725319213317|3.450619648523858|3.2522278171588828|3.116134423659811|2.6686270342507346|2.1380156022716803|1.745250250680401|0.816496580927726|</t>
  </si>
  <si>
    <t>180.0|171.0|180.0|165.0|119.0|120.0|118.0|113.0|112.0|111.0|107.0|</t>
  </si>
  <si>
    <t>1158830.0|300624.0|264879.0|224546.0|172675.0|110488.0|46908.0|23594.0|11349.0|3449.0|318.0|</t>
  </si>
  <si>
    <t>Wed Apr 02 17:29:20 CDT 2025</t>
  </si>
  <si>
    <t>2_DE C/A/P  F_0.6_CT</t>
  </si>
  <si>
    <t>55.0 &lt;-&gt; 114.0</t>
  </si>
  <si>
    <t>Cluster(s) of 690.0  voxels is(are) detected. If more than one cluster the texture calculation is only performed on the largest cluster. (size ok &gt;= 64.0vx)</t>
  </si>
  <si>
    <t>z85.0 y343.0 x111.0</t>
  </si>
  <si>
    <t>z84.03333333333333 y338.72463768115944 x102.12173913043478</t>
  </si>
  <si>
    <t>z84.07969344660968 y338.94612996634754 x102.16802754806564</t>
  </si>
  <si>
    <t>-452.0|-452.0|-155.0|-30.0|3.0|44.0|59.0|</t>
  </si>
  <si>
    <t>47.99565217391301|-2.2387387387387423|60.86486486486489|78.60416666666667|81.70103092783509|74.19444444444444|73.16666666666666|</t>
  </si>
  <si>
    <t>69.82027639295879|90.08815369540581|49.49810925253947|33.68980614658452|26.56956050311974|17.965738139959075|10.526421783092088|</t>
  </si>
  <si>
    <t>131.0|125.0|130.0|131.0|122.0|118.0|86.0|</t>
  </si>
  <si>
    <t>690|222|185|144|97|36|6|</t>
  </si>
  <si>
    <t>1.4593774795532226|0.46953884124755857|0.3912823677062988|0.30456573486328126|0.20515886306762696|0.07614143371582031|0.012690238952636719|</t>
  </si>
  <si>
    <t>33117.0|-497.0|11260.0|11319.0|7925.0|2671.0|439.0|</t>
  </si>
  <si>
    <t>55.0|55.0|85.0|98.0|101.0|105.0|106.0|</t>
  </si>
  <si>
    <t>105.35072463768121|100.35135135135133|106.64324324324323|108.4027777777778|108.69072164948453|107.91666666666669|107.83333333333333|</t>
  </si>
  <si>
    <t>6.988098022184141|9.031126004690014|4.9562704232517705|3.414266320334846|2.66849053722573|1.7697300484662777|1.0671873729054762|</t>
  </si>
  <si>
    <t>114.0|113.0|114.0|114.0|113.0|112.0|109.0|</t>
  </si>
  <si>
    <t>72692.0|22278.0|19729.0|15610.0|10543.0|3885.0|647.0|</t>
  </si>
  <si>
    <t>Wed Apr 02 17:30:22 CDT 2025</t>
  </si>
  <si>
    <t>5_Flash PE_CT</t>
  </si>
  <si>
    <t>38.0 &lt;-&gt; 212.0</t>
  </si>
  <si>
    <t>Cluster(s) of 223568.0  voxels is(are) detected. If more than one cluster the texture calculation is only performed on the largest cluster. (size ok &gt;= 64.0vx)</t>
  </si>
  <si>
    <t>z131.0 y251.0 x201.0</t>
  </si>
  <si>
    <t>z134.79204537321976 y268.64876010878123 x207.90111733342877</t>
  </si>
  <si>
    <t>z134.77346599908952 y268.61570862879813 x207.92235989227896</t>
  </si>
  <si>
    <t>-626.0|-626.0|-159.0|-116.0|-120.0|-105.0|-113.0|-109.0|-76.0|-75.0|-67.0|-59.0|-45.0|-48.0|-34.0|-44.0|-42.0|-40.0|-23.0|-32.0|-34.0|-39.0|-15.0|-15.0|-16.0|-28.0|38.0|37.0|36.0|</t>
  </si>
  <si>
    <t>60.111205539254776|45.83886754482243|67.02462546816527|66.35885051919847|64.49009951259127|63.570526656594076|62.470842208278256|61.07108766641548|60.044043624160956|59.822539162964496|59.145395658263254|57.8370355613108|57.53631414340308|57.31521000407767|56.93496716322282|56.50963972736107|56.110808805342536|56.349036402569645|56.458260361938244|53.845206684256844|52.983688833124205|55.02542372881358|59.23094688221709|57.64918032786881|48.421875|51.6235294117647|81.54838709677419|75.16666666666666|56.25|</t>
  </si>
  <si>
    <t>41.24955965750694|80.90140701431187|42.228524364353625|37.405871393585635|35.05932947932772|34.079900356878404|32.47422910404922|31.1577525969919|30.674025672984502|31.65641588432379|31.625560492884755|30.683074810171526|29.819086276235733|29.759244238440257|29.747432736151247|30.00772790058098|31.995324748343613|31.528878497337786|29.035048024521465|28.951127295135315|29.532042185178113|31.314820735584753|31.114364968893426|31.49246395907097|27.024181698700435|32.40950349750853|35.303146811833905|41.365914578175214|22.76373211931646|</t>
  </si>
  <si>
    <t>1115.0|1115.0|629.0|357.0|302.0|329.0|284.0|365.0|406.0|488.0|483.0|432.0|411.0|390.0|365.0|293.0|423.0|421.0|207.0|169.0|139.0|190.0|202.0|218.0|131.0|140.0|165.0|163.0|94.0|</t>
  </si>
  <si>
    <t>223568|21864|21360|20705|19696|18532|17371|15924|14304|12831|11424|10039|8633|7357|6243|5135|4043|2802|1713|1137|797|590|433|305|192|85|31|18|4|</t>
  </si>
  <si>
    <t>110.57466687011718|10.813732360839843|10.564458618164062|10.240501670837402|9.741459594726562|9.165755950927734|8.591536079406739|7.875863250732422|7.074626220703125|6.346094032287597|5.650204833984375|4.965196632385254|4.269802024841309|3.638704216003418|3.087730110168457|2.5397235488891603|1.9996304397583007|1.385843307495117|0.8472339706420898|0.5623496932983398|0.39418883514404296|0.2918085479736328|0.21415779876708985|0.15085018157958985|0.09496142578125|0.04204021453857422|0.015332313537597656|0.008902633666992187|0.001978363037109375|</t>
  </si>
  <si>
    <t>1.3438942E7|1002221.0|1431646.0|1373960.0|1270197.0|1178089.0|1085181.0|972496.0|858870.0|767583.0|675677.0|580626.0|496711.0|421668.0|355445.0|290177.0|226856.0|157890.0|96713.0|61222.0|42228.0|32465.0|25647.0|17583.0|9297.0|4388.0|2528.0|1353.0|225.0|</t>
  </si>
  <si>
    <t>38.0|38.0|85.0|89.0|89.0|90.0|89.0|90.0|93.0|93.0|94.0|95.0|96.0|96.0|97.0|96.0|96.0|97.0|98.0|97.0|97.0|97.0|99.0|99.0|99.0|98.0|104.0|104.0|104.0|</t>
  </si>
  <si>
    <t>106.56069741644741|105.1311287961953|107.24990636704133|107.18956773726148|106.99522745735148|106.90492121735328|106.79805422831171|106.65643054508931|106.5571168903803|106.53113553113558|106.46446078431349|106.33519274828156|106.30615081663396|106.28041321190709|106.24267179240744|106.19474196689396|106.16497650259687|106.18308351177723|106.19964973730309|105.94371152154793|105.85319949811786|106.05593220338983|106.47575057736718|106.30491803278687|105.40625000000003|105.74117647058824|108.74193548387098|108.00000000000001|106.25|</t>
  </si>
  <si>
    <t>4.134563161777773|8.094317587727849|4.232332742196788|3.7525806728718667|3.5149352873384676|3.418428043791111|3.256444562987237|3.1304964875783594|3.0831973128202144|3.1792046929328106|3.175723784900995|3.079920872544746|2.9983555358458003|2.9872300263117695|2.9945048779589905|3.0150307664289815|3.207050754488756|3.1639180842729457|2.9225974850212664|2.902762693605965|2.966949762373207|3.149160296281342|3.1498360898233604|3.143894745949559|2.72174164904876|3.236384842878094|3.491628161996079|4.216370213557842|2.277608394786076|</t>
  </si>
  <si>
    <t>212.0|212.0|163.0|136.0|131.0|133.0|129.0|137.0|141.0|149.0|149.0|144.0|142.0|140.0|137.0|130.0|143.0|143.0|121.0|117.0|114.0|120.0|121.0|122.0|114.0|115.0|117.0|117.0|110.0|</t>
  </si>
  <si>
    <t>2.3823562E7|2298587.0|2290858.0|2219360.0|2107378.0|1981162.0|1855189.0|1698397.0|1524193.0|1366901.0|1216250.0|1067499.0|917741.0|781905.0|663273.0|545310.0|429225.0|297525.0|181920.0|120458.0|84365.0|62573.0|46104.0|32423.0|20238.0|8988.0|3371.0|1944.0|425.0|</t>
  </si>
  <si>
    <t>Wed Apr 02 17:30:44 CDT 2025</t>
  </si>
  <si>
    <t>9_Soft Tissue_CT</t>
  </si>
  <si>
    <t>38.0 &lt;-&gt; 197.0</t>
  </si>
  <si>
    <t>Cluster(s) of 830.0 10032.0 1.0  voxels is(are) detected. If more than one cluster the texture calculation is only performed on the largest cluster. (size ok &gt;= 64.0vx)</t>
  </si>
  <si>
    <t>z84.0 y293.0 x200.0</t>
  </si>
  <si>
    <t>z89.0305023923445 y282.1108452950558 x204.48853668261563</t>
  </si>
  <si>
    <t>z89.00038883078037 y282.12570903566416 x204.44502651562658</t>
  </si>
  <si>
    <t>-627.0|-627.0|-117.0|-68.0|-52.0|-21.0|-6.0|-18.0|-17.0|-15.0|-18.0|4.0|94.0|</t>
  </si>
  <si>
    <t>46.97288676236055|26.517996289424858|52.966044142614535|51.73059866962307|53.926910299003325|57.08712613784134|60.74398249452958|65.09154929577468|58.10294117647057|58.25850340136054|55.096385542168676|53.49999999999999|94.0|</t>
  </si>
  <si>
    <t>58.80410961773449|96.29333831849154|39.03682952320613|31.255288430155897|29.812754078349425|29.85363433751981|27.02762368222167|29.874833944868804|30.952433322832356|25.729384042420623|24.92234419045975|37.01978235638732|0.0|</t>
  </si>
  <si>
    <t>960.0|960.0|399.0|170.0|279.0|203.0|155.0|177.0|156.0|122.0|132.0|162.0|94.0|</t>
  </si>
  <si>
    <t>10032|2695|2356|1804|1204|769|457|284|204|147|83|28|1|</t>
  </si>
  <si>
    <t>12.554159545898438|3.372553825378418|2.948325347900391|2.257546234130859|1.5066993713378907|0.9623353958129883|0.5718950271606446|0.35540084838867186|0.25528793334960936|0.18395748138427734|0.10386714935302735|0.035039520263671874|0.0012514114379882813|</t>
  </si>
  <si>
    <t>471232.0|71466.0|124788.0|93322.0|64928.0|43900.0|27760.0|18486.0|11853.0|8564.0|4573.0|1498.0|94.0|</t>
  </si>
  <si>
    <t>38.0|38.0|89.0|94.0|95.0|98.0|100.0|99.0|99.0|99.0|99.0|101.0|110.0|</t>
  </si>
  <si>
    <t>105.2510964912279|103.1955473098331|105.85908319185074|105.72727272727273|105.94518272425248|106.26007802340705|106.63238512035012|107.08802816901407|106.39215686274511|106.37414965986393|106.02409638554215|105.85714285714285|110.0|</t>
  </si>
  <si>
    <t>5.885575655050872|9.629383498217283|3.907635619833487|3.1383312700626593|2.9822818500364834|3.015776547818174|2.690546177141773|3.026176465311709|3.1048881851140293|2.6061436685530857|2.4932482495899455|3.7101625466344457|0.0|</t>
  </si>
  <si>
    <t>197.0|197.0|140.0|118.0|128.0|121.0|116.0|118.0|116.0|113.0|114.0|117.0|110.0|</t>
  </si>
  <si>
    <t>1055879.0|278112.0|249404.0|190732.0|127558.0|81714.0|48731.0|30413.0|21704.0|15637.0|8800.0|2964.0|110.0|</t>
  </si>
  <si>
    <t>Wed Apr 02 17:31:11 CDT 2025</t>
  </si>
  <si>
    <t>2_Chest/Abdomen/Pelvis 2mm_CT</t>
  </si>
  <si>
    <t>Cluster(s) of 21005.0  voxels is(are) detected. If more than one cluster the texture calculation is only performed on the largest cluster. (size ok &gt;= 64.0vx)</t>
  </si>
  <si>
    <t>z264.0 y259.0 x173.0</t>
  </si>
  <si>
    <t>z267.104451321114 y266.7846703165913 x148.09926208045704</t>
  </si>
  <si>
    <t>z267.05427199590747 y266.6294109408634 x148.1835636103811</t>
  </si>
  <si>
    <t>-670.0|-670.0|-382.0|-189.0|-146.0|-58.0|-55.0|-48.0|-24.0|-72.0|-123.0|17.0|-10.0|3.0|63.0|96.0|</t>
  </si>
  <si>
    <t>58.12120923589617|-11.75512435091556|66.22070844686644|75.6962504299966|73.75256107170999|73.11214087117716|72.36976617727036|73.00549828178687|74.21621621621624|75.49811794228366|75.47781569965868|79.28647214854111|82.79901960784314|90.69135802469134|93.92307692307692|97.5|</t>
  </si>
  <si>
    <t>63.528295225646254|110.72344106889348|48.42385304694651|32.76681006979282|28.279009306504733|24.6086407617989|24.04118451777387|24.05380503744067|24.650470616594852|25.622323214279486|27.033357336459524|22.36323367002768|20.660035282214796|20.501515737585958|9.335305511555733|1.5|</t>
  </si>
  <si>
    <t>198.0|198.0|196.0|173.0|158.0|146.0|154.0|153.0|145.0|142.0|140.0|142.0|138.0|130.0|117.0|99.0|</t>
  </si>
  <si>
    <t>21005|3659|3303|2907|2538|2158|1839|1455|1073|797|586|377|204|81|26|2|</t>
  </si>
  <si>
    <t>19.631290435791016|3.4197044372558594|3.086986541748047|2.7168846130371094|2.3720169067382812|2.0168685913085938|1.7187309265136719|1.3598442077636719|1.0028266906738281|0.7448768615722656|0.5476760864257812|0.3523445129394531|0.1906585693359375|0.07570266723632812|0.02429962158203125|0.00186920166015625|</t>
  </si>
  <si>
    <t>1220836.0|-43012.0|218727.0|220049.0|187184.0|157776.0|133088.0|106223.0|79634.0|60172.0|44230.0|29891.0|16891.0|7346.0|2442.0|195.0|</t>
  </si>
  <si>
    <t>34.0|34.0|62.0|82.0|86.0|95.0|95.0|96.0|98.0|93.0|88.0|102.0|100.0|101.0|107.0|110.0|</t>
  </si>
  <si>
    <t>106.35981909069308|99.37469253894514|107.17801998183478|108.12280701754379|107.9188337273443|107.85820203892501|107.77107123436657|107.8467353951889|107.95899347623484|108.10163111668759|108.08191126279857|108.47745358090178|108.82843137254902|109.64197530864202|109.96153846153845|110.0|</t>
  </si>
  <si>
    <t>6.358624914085279|11.069895166228267|4.866281081943126|3.2856840916360044|2.843659374785974|2.468016901350703|2.424568487158569|2.43327759571722|2.486908071250377|2.5726014835980062|2.722071416694735|2.282477570662497|2.0710363727020757|2.0686289487932354|0.897893656148367|0.0|</t>
  </si>
  <si>
    <t>120.0|120.0|120.0|118.0|116.0|115.0|116.0|116.0|115.0|115.0|115.0|115.0|114.0|114.0|112.0|110.0|</t>
  </si>
  <si>
    <t>2234088.0|363612.0|354009.0|314313.0|273898.0|232758.0|198191.0|156917.0|115840.0|86157.0|63336.0|40896.0|22201.0|8881.0|2859.0|220.0|</t>
  </si>
  <si>
    <t>Wed Apr 02 17:31:36 CDT 2025</t>
  </si>
  <si>
    <t>20.0 &lt;-&gt; 135.0</t>
  </si>
  <si>
    <t>Cluster(s) of 1412.0 8902.0 3431.0 30881.0  voxels is(are) detected. If more than one cluster the texture calculation is only performed on the largest cluster. (size ok &gt;= 64.0vx)</t>
  </si>
  <si>
    <t>z120.0 y294.0 x201.0</t>
  </si>
  <si>
    <t>z125.92364236909427 y322.37307729671966 x198.6207052880412</t>
  </si>
  <si>
    <t>z125.88557925274031 y322.28379547093937 x198.63565715658953</t>
  </si>
  <si>
    <t>-807.0|-807.0|-353.0|-337.0|-268.0|-313.0|-202.0|-63.0|-21.0|-43.0|-16.0|-30.0|-12.0|-21.0|4.0|0.0|14.0|23.0|</t>
  </si>
  <si>
    <t>38.68265276383526|-20.302382908792147|40.0996326905417|51.23503033500394|52.92518703241896|52.10603773584894|50.537280701754334|52.23660262891807|54.16960093896712|51.924554183813456|50.39664804469268|48.6941287878788|48.703923900118895|50.57954545454545|52.80095923261394|51.52419354838707|53.31199999999998|59.84375|</t>
  </si>
  <si>
    <t>54.874224066126|96.92174550596172|48.39340040546393|37.99974172804925|31.082656902638092|28.30705761317409|26.290072430385063|22.045422246973516|21.10094764199101|20.67104196617164|19.610652876496687|19.975984719879737|20.774975715851244|19.682384762097758|18.94941389198243|17.745496343542158|21.129473632819163|24.72234487134058|</t>
  </si>
  <si>
    <t>340.0|340.0|227.0|185.0|155.0|142.0|148.0|127.0|127.0|144.0|108.0|104.0|117.0|108.0|122.0|101.0|152.0|141.0|</t>
  </si>
  <si>
    <t>30881|4868|4356|3791|3208|2650|2280|1978|1704|1458|1253|1056|841|616|417|248|125|32|</t>
  </si>
  <si>
    <t>42.35582470703125|6.676861328125|5.974611328125|5.19966748046875|4.40003515625|3.6346923828125|3.12720703125|2.7129892578125|2.33717578125|1.9997666015625|1.71859228515625|1.448390625|1.15350048828125|0.84489453125|0.57194970703125|0.34015234375|0.17144775390625|0.043890625|</t>
  </si>
  <si>
    <t>1194559.0|-98832.0|174674.0|194232.0|169784.0|138081.0|115225.0|103324.0|92305.0|75706.0|63147.0|51421.0|40960.0|31157.0|22018.0|12778.0|6664.0|1915.0|</t>
  </si>
  <si>
    <t>20.0|20.0|65.0|67.0|74.0|69.0|80.0|94.0|98.0|96.0|99.0|98.0|99.0|98.0|101.0|101.0|102.0|103.0|</t>
  </si>
  <si>
    <t>104.41569249700501|98.51622843056701|104.55348943985321|105.67501978369825|105.84476309226928|105.75094339622672|105.60350877192971|105.7618806875633|105.9618544600938|105.73525377229069|105.58898643256184|105.4384469696969|105.41260404280622|105.6103896103897|105.84172661870508|105.70564516129026|105.89599999999999|106.53125000000001|</t>
  </si>
  <si>
    <t>5.4945585577815|9.69438203958424|4.848923677123031|3.8134978164091637|3.1191374944783523|2.8427745310755648|2.6493603936680845|2.2148097220928435|2.1382005811656133|2.060772152106411|1.9862512290110994|2.0225993657067853|2.095753703938003|1.9953246922304437|1.9076734840913763|1.7864996600558918|2.1719079170167412|2.4872722885723606|</t>
  </si>
  <si>
    <t>135.0|135.0|123.0|119.0|116.0|115.0|115.0|113.0|113.0|115.0|111.0|111.0|112.0|111.0|113.0|111.0|116.0|115.0|</t>
  </si>
  <si>
    <t>3224461.0|479577.0|455435.0|400614.0|339550.0|280240.0|240776.0|209197.0|180559.0|154162.0|132303.0|111343.0|88652.0|65056.0|44136.0|26215.0|13237.0|3409.0|</t>
  </si>
  <si>
    <t>Wed Apr 02 17:32:07 CDT 2025</t>
  </si>
  <si>
    <t>16.0 &lt;-&gt; 144.0</t>
  </si>
  <si>
    <t>Cluster(s) of 11839.0 1.0 3.0 1.0 1458.0  voxels is(are) detected. If more than one cluster the texture calculation is only performed on the largest cluster. (size ok &gt;= 64.0vx)</t>
  </si>
  <si>
    <t>z201.0 y379.0 x297.0</t>
  </si>
  <si>
    <t>z199.76366247149252 y356.83909113945435 x294.43187769237267</t>
  </si>
  <si>
    <t>z199.71009315906798 y356.57525211563643 x294.3118400018554</t>
  </si>
  <si>
    <t>-842.0|-842.0|-612.0|-87.0|-44.0|0.0|</t>
  </si>
  <si>
    <t>10.227130669820065|-35.922631959508244|45.297509225092256|62.35891647855534|65.39583333333337|48.142857142857146|</t>
  </si>
  <si>
    <t>122.92545151880897|157.0639776466927|63.033684935917165|37.13973468240863|33.84030485440237|34.626284695830925|</t>
  </si>
  <si>
    <t>439.0|439.0|192.0|190.0|111.0|96.0|</t>
  </si>
  <si>
    <t>11839|5532|4336|1772|192|7|</t>
  </si>
  <si>
    <t>11.064739227294922|5.1702117919921875|4.05242919921875|1.6561126708984375|0.179443359375|0.006542205810546875|</t>
  </si>
  <si>
    <t>121079.0|-198724.0|196410.0|110500.0|12556.0|337.0|</t>
  </si>
  <si>
    <t>16.0|16.0|39.0|92.0|96.0|101.0|</t>
  </si>
  <si>
    <t>101.5733592364219|96.95986984815632|105.08210332103305|106.77652370203145|107.09375000000006|105.57142857142858|</t>
  </si>
  <si>
    <t>12.298089833675625|15.712294277122112|6.313218488169211|3.7322570004165434|3.3914049602143757|3.245090483314446|</t>
  </si>
  <si>
    <t>144.0|144.0|120.0|120.0|112.0|110.0|</t>
  </si>
  <si>
    <t>1202527.0|536382.0|455636.0|189208.0|20562.0|739.0|</t>
  </si>
  <si>
    <t>Wed Apr 02 17:32:34 CDT 2025</t>
  </si>
  <si>
    <t>8_Flash PE_CT</t>
  </si>
  <si>
    <t>30.0 &lt;-&gt; 149.0</t>
  </si>
  <si>
    <t>Cluster(s) of 20537.0  voxels is(are) detected. If more than one cluster the texture calculation is only performed on the largest cluster. (size ok &gt;= 64.0vx)</t>
  </si>
  <si>
    <t>z62.0 y285.0 x158.0</t>
  </si>
  <si>
    <t>z59.285484734868774 y286.82631348298196 x119.80182110337441</t>
  </si>
  <si>
    <t>z59.240635217585194 y286.8513610526884 x119.75016666200945</t>
  </si>
  <si>
    <t>-703.0|-703.0|-260.0|-175.0|-190.0|-93.0|-54.0|-55.0|-33.0|-18.0|-9.0|-3.0|12.0|4.0|</t>
  </si>
  <si>
    <t>53.26595900082746|11.315700021244954|66.4841764266134|71.60646735814527|68.78045838359462|64.56524122807022|61.038405797101454|59.14799999999996|56.567785234899354|59.45664739884394|58.296774193548394|54.85263157894739|66.64285714285714|54.85714285714286|</t>
  </si>
  <si>
    <t>65.49870315888555|105.03112417173126|51.13493932465971|40.75955306706596|38.81943047831608|32.399323115136234|29.279771972026666|28.726017753945634|28.971979678720814|26.834351441323168|28.97088064036101|29.178567628728203|27.098252824166522|29.461493374178005|</t>
  </si>
  <si>
    <t>486.0|486.0|272.0|279.0|294.0|240.0|183.0|165.0|152.0|149.0|169.0|139.0|123.0|100.0|</t>
  </si>
  <si>
    <t>20537|4707|4013|3278|2487|1824|1380|1000|745|519|310|190|70|14|</t>
  </si>
  <si>
    <t>14.72634139251709|3.375219795227051|2.8775774459838868|2.3505354766845703|1.7833379287719726|1.307924560546875|0.9895481872558594|0.7170639038085938|0.5342126083374024|0.37215616607666013|0.22228981018066407|0.1362421417236328|0.050194473266601564|0.010038894653320312|</t>
  </si>
  <si>
    <t>1093923.0|53263.0|266801.0|234726.0|171057.0|117767.0|84233.0|59148.0|42143.0|30858.0|18072.0|10422.0|4665.0|768.0|</t>
  </si>
  <si>
    <t>30.0|30.0|75.0|83.0|82.0|91.0|95.0|95.0|97.0|99.0|100.0|100.0|102.0|101.0|</t>
  </si>
  <si>
    <t>105.87456785314353|101.68238793286574|107.1971093944681|107.71110433190965|107.41737032569354|107.01041666666652|106.65217391304348|106.47000000000011|106.18657718120808|106.4894026974952|106.36129032258069|106.03684210526312|107.2|106.0|</t>
  </si>
  <si>
    <t>6.5528400746735|10.50122829077454|5.118994849126294|4.087862650594764|3.887168668595981|3.2554611743910993|2.9378888553306473|2.883244699986455|2.9270930151279546|2.692203728343385|2.873424103226522|2.931446656752435|2.728683617738467|3.0237157840738176|</t>
  </si>
  <si>
    <t>149.0|149.0|128.0|128.0|130.0|125.0|119.0|117.0|116.0|115.0|117.0|114.0|113.0|111.0|</t>
  </si>
  <si>
    <t>2174346.0|478619.0|430182.0|353077.0|267147.0|195187.0|147180.0|106470.0|79109.0|55268.0|32972.0|20147.0|7504.0|1484.0|</t>
  </si>
  <si>
    <t>Wed Apr 02 17:33:14 CDT 2025</t>
  </si>
  <si>
    <t>64.0 &lt;-&gt; 120.0</t>
  </si>
  <si>
    <t>Cluster(s) of 4189.0  voxels is(are) detected. If more than one cluster the texture calculation is only performed on the largest cluster. (size ok &gt;= 64.0vx)</t>
  </si>
  <si>
    <t>z275.0 y267.0 x188.0</t>
  </si>
  <si>
    <t>z275.99092862258294 y278.2757221293865 x195.5273334924803</t>
  </si>
  <si>
    <t>z275.85482942405565 y278.0453354666949 x195.43220758635485</t>
  </si>
  <si>
    <t>-367.0|-367.0|-61.0|-18.0|-30.0|-42.0|-16.0|-22.0|-9.0|</t>
  </si>
  <si>
    <t>48.069706373836254|6.424827586206898|75.34653465346526|77.20402684563759|68.13258426966294|55.046610169491515|39.744360902255636|33.19148936170213|30.227272727272734|</t>
  </si>
  <si>
    <t>69.10228794007537|83.2190889333769|47.73114760811614|45.62074454431673|45.06642232762035|45.831419505976214|42.18731130467867|28.85004391594603|24.48549072815056|</t>
  </si>
  <si>
    <t>192.0|175.0|190.0|192.0|170.0|155.0|154.0|117.0|79.0|</t>
  </si>
  <si>
    <t>4189|1450|1111|745|445|236|133|47|22|</t>
  </si>
  <si>
    <t>3.2522341079711916|1.1257434844970704|0.8625524215698243|0.5783992385864258|0.3454867935180664|0.18322445678710939|0.10325785064697265|0.03648961639404297|0.01708024597167969|</t>
  </si>
  <si>
    <t>201364.0|9316.0|83710.0|57517.0|30319.0|12991.0|5286.0|1560.0|665.0|</t>
  </si>
  <si>
    <t>64.0|64.0|94.0|99.0|98.0|96.0|99.0|98.0|100.0|</t>
  </si>
  <si>
    <t>105.35975173072336|101.19103448275862|108.0936093609361|108.25906040268458|107.361797752809|106.09745762711863|104.52631578947364|103.89361702127657|103.63636363636363|</t>
  </si>
  <si>
    <t>6.919115514219785|8.332325231136359|4.780724181145149|4.572606109642004|4.519806737888261|4.587546921468939|4.250747740269335|2.9117081522648514|2.2471285626015107|</t>
  </si>
  <si>
    <t>120.0|118.0|120.0|120.0|118.0|116.0|116.0|112.0|108.0|</t>
  </si>
  <si>
    <t>441352.0|146727.0|120092.0|80653.0|47776.0|25039.0|13902.0|4883.0|2280.0|</t>
  </si>
  <si>
    <t>Wed Apr 02 17:33:51 CDT 2025</t>
  </si>
  <si>
    <t>500_Source Data thins 1x1 Br40_CT</t>
  </si>
  <si>
    <t>10.0 &lt;-&gt; 130.0</t>
  </si>
  <si>
    <t>Cluster(s) of 2118.0  voxels is(are) detected. If more than one cluster the texture calculation is only performed on the largest cluster. (size ok &gt;= 64.0vx)</t>
  </si>
  <si>
    <t>z273.0 y276.0 x182.0</t>
  </si>
  <si>
    <t>z273.81775259678943 y277.4084041548631 x161.35316336166196</t>
  </si>
  <si>
    <t>z273.7517808245257 y277.3174182883143 x161.31898097175113</t>
  </si>
  <si>
    <t>-901.0|-901.0|-377.0|-104.0|-26.0|</t>
  </si>
  <si>
    <t>-8.186968838526914|-81.61220657276995|62.85925925925923|73.31076923076925|62.66037735849059|</t>
  </si>
  <si>
    <t>159.81839309850218|193.95382258931883|57.283410171992976|26.341521030068005|19.73115857534791|</t>
  </si>
  <si>
    <t>290.0|290.0|163.0|147.0|104.0|</t>
  </si>
  <si>
    <t>2118|1065|675|325|53|</t>
  </si>
  <si>
    <t>1.1059679201019288|0.5561170136489868|0.35246852977752685|0.1697070698928833|0.027675306782531738|</t>
  </si>
  <si>
    <t>-17340.0|-86917.0|42430.0|23826.0|3321.0|</t>
  </si>
  <si>
    <t>10.0|10.0|63.0|90.0|98.0|</t>
  </si>
  <si>
    <t>99.72662889518391|92.38685446009397|106.84000000000002|107.85538461538454|106.77358490566039|</t>
  </si>
  <si>
    <t>15.985780953587685|19.400852214049777|5.741947017829026|2.652257718608274|1.9871427238764656|</t>
  </si>
  <si>
    <t>130.0|130.0|117.0|115.0|111.0|</t>
  </si>
  <si>
    <t>211221.0|98392.0|72117.0|35053.0|5659.0|</t>
  </si>
  <si>
    <t>Wed Apr 02 17:34:20 CDT 2025</t>
  </si>
  <si>
    <t>23.0 &lt;-&gt; 134.0</t>
  </si>
  <si>
    <t>Cluster(s) of 72828.0 433.0 7226.0  voxels is(are) detected. If more than one cluster the texture calculation is only performed on the largest cluster. (size ok &gt;= 64.0vx)</t>
  </si>
  <si>
    <t>z84.0 y241.0 x339.0</t>
  </si>
  <si>
    <t>z88.15709617180205 y255.38750205964737 x347.19275553358597</t>
  </si>
  <si>
    <t>z88.16859360339541 y255.3927834814082 x347.1574614724214</t>
  </si>
  <si>
    <t>-775.0|-775.0|-256.0|-84.0|-106.0|-117.0|-101.0|-46.0|-36.0|-42.0|-35.0|-15.0|-16.0|-5.0|-17.0|-15.0|-15.0|-5.0|-12.0|5.0|</t>
  </si>
  <si>
    <t>36.3148926237157|5.139240506329126|42.71568746214415|43.800903808908984|41.38896648044691|40.51412086243538|39.6749416861047|39.25188394875649|38.869696969696996|38.978934010152294|39.17280540208709|40.00662495399339|39.51023965141614|39.08436853002072|39.12469135802469|39.236078431372505|38.66747868453107|38.21978021978025|37.275000000000006|25.5|</t>
  </si>
  <si>
    <t>36.75038368414379|77.05351060366432|38.08385614862074|28.914403615377722|24.39554098930558|21.573465001225326|19.867600795041884|18.625307466297397|17.703043233721505|16.999740603596113|15.691369093049566|14.958830519402843|14.612847025807387|14.781417183728495|15.090484540602802|15.166731921225457|15.070125228349804|15.611915847685474|15.960870120391306|20.5|</t>
  </si>
  <si>
    <t>334.0|334.0|223.0|172.0|136.0|127.0|117.0|107.0|103.0|105.0|93.0|92.0|91.0|85.0|91.0|97.0|103.0|70.0|66.0|46.0|</t>
  </si>
  <si>
    <t>72828|8848|8255|7745|7160|6586|6002|5308|4620|3940|3258|2717|2295|1932|1620|1275|821|364|80|2|</t>
  </si>
  <si>
    <t>68.06510925292969|8.26934814453125|7.715129852294922|7.238483428955078|6.691741943359375|6.155281066894531|5.609474182128906|4.9608612060546875|4.3178558349609375|3.6823272705078125|3.0449295043945312|2.5393104553222656|2.144908905029297|1.8056488037109375|1.5140533447265625|1.1916160583496094|0.7673072814941406|0.3401947021484375|0.07476806640625|0.00186920166015625|</t>
  </si>
  <si>
    <t>2644741.0|45472.0|352618.0|339238.0|296345.0|266826.0|238129.0|208349.0|179578.0|153577.0|127625.0|108698.0|90676.0|75511.0|63382.0|50026.0|31746.0|13912.0|2982.0|51.0|</t>
  </si>
  <si>
    <t>23.0|23.0|75.0|92.0|90.0|89.0|90.0|96.0|97.0|96.0|97.0|99.0|99.0|100.0|99.0|99.0|99.0|100.0|99.0|101.0|</t>
  </si>
  <si>
    <t>104.18050749711738|101.06487341772136|104.81393095093892|104.93092317624249|104.68589385474867|104.60780443364676|104.51666111296254|104.4768274302937|104.43679653679645|104.44390862944144|104.45856353591155|104.54471843945534|104.50980392156869|104.45703933747403|104.46666666666674|104.47372549019607|104.41047503045067|104.35989010989016|104.26249999999997|103.0|</t>
  </si>
  <si>
    <t>3.6871815001868615|7.711549036760609|3.822249852622701|2.9073057260635227|2.456054407235945|2.1786292886358267|2.0104207812159203|1.8826814407370644|1.792875787844023|1.7265178569690809|1.593890468463818|1.5287475550540088|1.498223990247103|1.5014544820271962|1.5330112383117473|1.552195106980615|1.5500854224774208|1.6068657599008505|1.5948648061826438|2.0|</t>
  </si>
  <si>
    <t>134.0|134.0|123.0|118.0|114.0|113.0|112.0|111.0|111.0|111.0|110.0|110.0|110.0|109.0|110.0|110.0|111.0|108.0|107.0|105.0|</t>
  </si>
  <si>
    <t>7587258.0|894222.0|865239.0|812690.0|749551.0|688947.0|627309.0|554563.0|482498.0|411509.0|340326.0|284048.0|239850.0|201811.0|169236.0|133204.0|85721.0|37987.0|8341.0|206.0|</t>
  </si>
  <si>
    <t>Wed Apr 02 17:34:44 CDT 2025</t>
  </si>
  <si>
    <t>2_Thorax  5.0  STD_CT</t>
  </si>
  <si>
    <t>47.0 &lt;-&gt; 126.0</t>
  </si>
  <si>
    <t>Cluster(s) of 66466.0 2367.0 2.0  voxels is(are) detected. If more than one cluster the texture calculation is only performed on the largest cluster. (size ok &gt;= 64.0vx)</t>
  </si>
  <si>
    <t>z50.0 y241.0 x313.0</t>
  </si>
  <si>
    <t>z49.924337255137964 y248.46461348659466 x310.92942256191134</t>
  </si>
  <si>
    <t>z49.901449858705554 y248.53954354992717 x310.96716738943957</t>
  </si>
  <si>
    <t>-533.0|-533.0|-199.0|-92.0|-126.0|-50.0|-7.0|-6.0|-4.0|-9.0|0.0|-1.0|4.0|4.0|3.0|1.0|3.0|5.0|9.0|14.0|1.0|14.0|16.0|17.0|17.0|14.0|18.0|34.0|35.0|</t>
  </si>
  <si>
    <t>58.63415881804262|38.01578875731592|65.97356892523376|68.50070169967283|66.51274691879115|64.08086454257486|62.284952849528565|60.725405158639504|59.35060667340745|57.71302616609786|56.28198347107439|55.20084485407069|55.072520751419894|55.579848866498736|55.695493300852554|56.03877703206564|54.01528175740214|54.60248447204973|53.73926380368099|53.22282608695656|52.572062084257205|53.271002710027126|52.40584415584414|51.31225296442689|50.14634146341464|52.3758389261745|54.8989898989899|56.31481481481482|54.857142857142854|</t>
  </si>
  <si>
    <t>34.94762647508353|79.72008858045355|33.7144287623581|25.576146834357505|22.883779460984556|20.743048585368694|19.646903132390978|19.34439411688399|19.217389673430173|19.15562161403932|18.91556242491793|18.7562171785776|18.537883019356535|18.805776404435754|19.416107472538236|18.87902504296646|17.7666546290141|15.84532358589387|15.189380919232653|14.593749430767101|15.499403320341436|16.231130359944444|15.626138346119816|14.458928067218709|15.40250371730036|13.694400222374304|16.11417278783685|11.723392370359791|10.204040816244898|</t>
  </si>
  <si>
    <t>255.0|255.0|208.0|227.0|225.0|202.0|155.0|153.0|186.0|181.0|170.0|151.0|170.0|153.0|168.0|172.0|128.0|100.0|107.0|98.0|102.0|99.0|95.0|92.0|92.0|81.0|95.0|89.0|69.0|</t>
  </si>
  <si>
    <t>66466|7347|6848|6413|5923|5367|4878|4381|3956|3516|3025|2604|2289|1985|1642|1341|1047|805|652|552|451|369|308|253|205|149|99|54|7|</t>
  </si>
  <si>
    <t>164.29888916015625|18.161224365234375|16.927734375|15.852447509765625|14.641204833984375|13.266815185546875|12.05804443359375|10.829498291015625|9.7789306640625|8.6912841796875|7.477569580078125|6.4368896484375|5.658233642578125|4.906768798828125|4.05889892578125|3.314849853515625|2.588104248046875|1.989898681640625|1.6116943359375|1.364501953125|1.114837646484375|0.912139892578125|0.7613525390625|0.625396728515625|0.506744384765625|0.368316650390625|0.244720458984375|0.13348388671875|0.017303466796875|</t>
  </si>
  <si>
    <t>3897178.0|279302.0|451787.0|439295.0|393955.0|343922.0|303826.0|266038.0|234791.0|202919.0|170253.0|143743.0|126061.0|110326.0|91452.0|75148.0|56554.0|43955.0|35038.0|29379.0|23710.0|19657.0|16141.0|12982.0|10280.0|7804.0|5435.0|3041.0|384.0|</t>
  </si>
  <si>
    <t>47.0|47.0|81.0|91.0|88.0|96.0|100.0|100.0|100.0|100.0|101.0|100.0|101.0|101.0|101.0|101.0|101.0|101.0|101.0|102.0|101.0|102.0|102.0|102.0|102.0|102.0|102.0|104.0|104.0|</t>
  </si>
  <si>
    <t>106.41290283754111|104.34884987069549|107.14836448598088|107.39965694682667|107.19550903258498|106.96403950065177|106.78577285772857|106.62519972609009|106.48104145601607|106.32394766780446|106.1672727272729|106.07104454685079|106.0524246395806|106.10528967254409|106.11571254567588|106.15585384041765|105.96848137535817|106.00124223602471|105.91717791411045|105.84963768115944|105.78713968957875|105.89159891598915|105.81168831168836|105.67588932806322|105.54146341463415|105.7986577181208|106.06060606060605|106.16666666666664|106.14285714285714|</t>
  </si>
  <si>
    <t>3.506823466970044|7.980469028201703|3.3782059384349252|2.568769699871546|2.3085333972249056|2.0938507225800147|1.9795558534329387|1.9613113686819903|1.9382255880135721|1.9368605485474653|1.926188374197235|1.893664832341642|1.8785432858764444|1.9120451364304318|1.9531689195904351|1.907328491414912|1.7914046836434245|1.6132212895010252|1.556466625035574|1.4648786413701465|1.5783776018751035|1.639340171183271|1.5863438341019445|1.5028601518348466|1.5443011853587798|1.3853493527453073|1.587948182615018|1.1506841765115516|0.9897433186107889|</t>
  </si>
  <si>
    <t>126.0|126.0|121.0|123.0|123.0|121.0|116.0|116.0|119.0|119.0|118.0|116.0|118.0|116.0|117.0|118.0|113.0|111.0|111.0|110.0|111.0|110.0|110.0|110.0|110.0|109.0|110.0|109.0|107.0|</t>
  </si>
  <si>
    <t>7072840.0|766651.0|733752.0|688754.0|634919.0|574076.0|520901.0|467125.0|421239.0|373835.0|321156.0|276209.0|242754.0|210619.0|174242.0|142355.0|110949.0|85331.0|69058.0|58429.0|47710.0|39074.0|32590.0|26736.0|21636.0|15764.0|10500.0|5733.0|743.0|</t>
  </si>
  <si>
    <t>Wed Apr 02 17:35:18 CDT 2025</t>
  </si>
  <si>
    <t>4_Chest/Abd/Pelvis_CT</t>
  </si>
  <si>
    <t>20.0 &lt;-&gt; 186.0</t>
  </si>
  <si>
    <t>Cluster(s) of 297.0 6958.0  voxels is(are) detected. If more than one cluster the texture calculation is only performed on the largest cluster. (size ok &gt;= 64.0vx)</t>
  </si>
  <si>
    <t>z206.0 y219.0 x304.0</t>
  </si>
  <si>
    <t>z207.33587237711987 y237.70911181373958 x307.62920379419376</t>
  </si>
  <si>
    <t>z207.6831418490258 y236.67655432534372 x305.4014078876471</t>
  </si>
  <si>
    <t>-808.0|-808.0|-160.0|-42.0|-17.0|1.0|-1.0|5.0|8.0|-2.0|16.0|</t>
  </si>
  <si>
    <t>41.34305835010059|5.072137657180664|43.61644832605537|51.77479674796744|54.675204918032826|56.092178770949694|57.543186180422296|53.66568047337279|50.49751243781095|50.012048192771076|55.5|</t>
  </si>
  <si>
    <t>64.73538917936943|122.35172724631141|35.88071443431973|27.546422291402006|22.09647345850173|19.132364438196706|18.948423698914638|17.66898311114497|19.93724592080264|23.595228216740924|33.090784215548595|</t>
  </si>
  <si>
    <t>855.0|855.0|125.0|130.0|128.0|133.0|164.0|140.0|140.0|163.0|124.0|</t>
  </si>
  <si>
    <t>6958|1511|1374|1230|976|716|521|338|201|83|8|</t>
  </si>
  <si>
    <t>8.536173690795898|1.8537163619995116|1.6856428070068359|1.5089815521240235|1.1973707275390626|0.8783990173339844|0.6391702346801758|0.41466322326660154|0.24658966827392578|0.1018255844116211|0.00981451416015625|</t>
  </si>
  <si>
    <t>287665.0|7664.0|59929.0|63683.0|53363.0|40162.0|29980.0|18139.0|10150.0|4151.0|444.0|</t>
  </si>
  <si>
    <t>20.0|20.0|85.0|96.0|99.0|101.0|100.0|101.0|101.0|100.0|102.0|</t>
  </si>
  <si>
    <t>104.68683529749951|101.06419589675694|104.91848617176126|105.7252032520324|106.0225409836065|106.16340782122901|106.28790786948173|105.90828402366861|105.60696517412934|105.57831325301203|106.125|</t>
  </si>
  <si>
    <t>6.483208617656797|12.247415562218935|3.594925103555386|2.7883495568833436|2.2157003338971237|1.9317551015150267|1.9290753503797802|1.794268327361647|2.007387164361391|2.380242378706552|3.443744328488979|</t>
  </si>
  <si>
    <t>186.0|186.0|113.0|114.0|113.0|114.0|117.0|115.0|115.0|117.0|113.0|</t>
  </si>
  <si>
    <t>728411.0|152708.0|144158.0|130042.0|103478.0|76013.0|55376.0|35797.0|21227.0|8763.0|849.0|</t>
  </si>
  <si>
    <t>Wed Apr 02 17:36:22 CDT 2025</t>
  </si>
  <si>
    <t>28.0 &lt;-&gt; 151.0</t>
  </si>
  <si>
    <t>Cluster(s) of 376975.0  voxels is(are) detected. If more than one cluster the texture calculation is only performed on the largest cluster. (size ok &gt;= 64.0vx)</t>
  </si>
  <si>
    <t>z44.0 y407.0 x87.0</t>
  </si>
  <si>
    <t>z65.95539492008754 y358.3938377876517 x122.69655282180516</t>
  </si>
  <si>
    <t>z65.96604419873765 y358.3433342921988 x122.732955953851</t>
  </si>
  <si>
    <t>-725.0|-725.0|-522.0|-530.0|-641.0|-564.0|-387.0|-258.0|-200.0|-185.0|-268.0|-276.0|-325.0|-423.0|-408.0|-221.0|-111.0|-80.0|-65.0|-80.0|-68.0|-74.0|-60.0|-77.0|-89.0|-68.0|-62.0|-52.0|-52.0|-53.0|-63.0|-54.0|-84.0|-85.0|-59.0|-59.0|-46.0|-54.0|-37.0|-35.0|-38.0|-22.0|-34.0|-37.0|-17.0|</t>
  </si>
  <si>
    <t>28.362517408316798|-0.8587299277155318|16.40188118811882|24.373620811823056|27.440723270440323|29.084455591298138|30.671728576267462|31.544210093413998|31.500731439717267|31.317834881058506|31.187412680460355|31.3005285853387|31.092097617664162|30.43743339929976|30.941087251536647|31.83009057363299|32.41358623731808|32.21398718305945|31.52317037327312|32.01990049751252|31.85692188708421|31.760782465236908|31.751759678230265|32.75693509291682|34.15844193879038|34.27210450852322|33.539892230140794|32.98651984051656|32.536052133697694|31.918485833720393|31.502203785325403|32.335459553493806|31.617627785058946|32.81343843843844|34.07425097698655|31.690391459074764|29.549007817197815|28.07434402332361|29.43336439888166|30.388471177944854|26.09310986964619|28.986754966887418|27.119760479041922|23.28333333333334|20.92|</t>
  </si>
  <si>
    <t>34.230937280514766|66.62192937691276|46.623053155815974|39.00497652482502|36.24211832050363|34.81233555263645|32.121291334365516|30.1506079731118|28.85452789059756|28.276251832611578|28.125512357611566|28.16866466866433|28.356944478068332|29.137365637385088|28.1700558992115|25.905512650162798|25.183678324806124|25.330491230317506|24.691192137259783|24.689007168143423|24.79265850595996|24.54620520584788|24.255258963805563|24.731655074102502|25.01915671318827|24.567358045353057|24.604937241990367|24.722511811338233|24.872705423852878|25.481186144143734|25.20658863823588|25.299693231652384|24.93633289871442|24.832488942835774|25.846622514168043|25.265267280533088|26.040716486514494|25.04774474275029|24.386364376946013|23.86799468628247|24.708254657969068|24.917609070447366|24.507313437394096|23.019623271364708|25.40066140871139|</t>
  </si>
  <si>
    <t>505.0|505.0|243.0|229.0|258.0|229.0|220.0|190.0|194.0|220.0|209.0|191.0|176.0|180.0|178.0|190.0|175.0|159.0|144.0|132.0|156.0|164.0|142.0|168.0|123.0|125.0|123.0|118.0|115.0|132.0|125.0|123.0|118.0|125.0|129.0|110.0|113.0|112.0|112.0|102.0|118.0|121.0|76.0|62.0|68.0|</t>
  </si>
  <si>
    <t>376975|20613|20200|19758|19080|18341|17714|17021|16406|15722|15031|14378|13768|13138|12527|11924|11335|10767|10207|9648|9051|8486|7956|7426|6829|6277|5753|5267|4757|4306|3857|3449|3052|2664|2303|1967|1663|1372|1073|798|537|302|167|60|25|</t>
  </si>
  <si>
    <t>175.20786881446838|9.580369520187379|9.388418197631836|9.182988452911378|8.86787223815918|8.524404859542846|8.23299207687378|7.910904264450073|7.6250687599182125|7.307163906097412|6.986005640029907|6.682508754730224|6.398997116088867|6.106190013885498|5.82221360206604|5.541955375671387|5.268203973770142|5.004212808609009|4.743939828872681|4.484131622314453|4.206662034988403|3.9440651893615724|3.697735404968262|3.4514056205749513|3.1739360332489013|2.917381238937378|2.6738400936126707|2.4479603290557863|2.2109260082244875|2.001313304901123|1.79263014793396|1.6030026912689208|1.4184877395629882|1.2381557464599608|1.0703726291656495|0.9142088413238525|0.7729177951812745|0.6376688003540039|0.4987016201019287|0.37088899612426757|0.24958319664001466|0.14036149978637696|0.07761712074279785|0.027886390686035156|0.011619329452514648|</t>
  </si>
  <si>
    <t>1.069196E7|-17701.0|331318.0|481574.0|523569.0|533438.0|543319.0|536914.0|516801.0|492379.0|468778.0|450039.0|428076.0|399887.0|387599.0|379542.0|367408.0|346848.0|321757.0|308928.0|288337.0|269522.0|252617.0|243253.0|233268.0|215126.0|192955.0|173740.0|154774.0|137441.0|121504.0|111525.0|96497.0|87415.0|78473.0|62335.0|49140.0|38518.0|31582.0|24250.0|14012.0|8754.0|4529.0|1397.0|523.0|</t>
  </si>
  <si>
    <t>28.0|28.0|48.0|48.0|36.0|44.0|62.0|75.0|81.0|82.0|74.0|73.0|68.0|58.0|60.0|78.0|89.0|93.0|94.0|93.0|94.0|93.0|95.0|93.0|92.0|94.0|94.0|95.0|95.0|95.0|94.0|95.0|92.0|92.0|95.0|95.0|96.0|95.0|97.0|97.0|97.0|98.0|97.0|97.0|99.0|</t>
  </si>
  <si>
    <t>103.38600968234111|100.46528889535749|102.18717821782205|102.98714444781889|103.29051362683414|103.45700888719288|103.61883256181547|103.70777275130717|103.69998780933797|103.67911207225538|103.67207770607389|103.68152733342627|103.65790238233566|103.593926016136|103.6469226470826|103.73314324052315|103.79064843405365|103.7691093155012|103.70294895659836|103.75528606965145|103.73815048060968|103.72271977374528|103.72435897435908|103.82170751413999|103.96280568165199|103.97642185757502|103.8981401008171|103.84773115625595|103.80723144839187|103.7382721783558|103.69950738916246|103.78196578718469|103.713630406291|103.83108108108111|103.95961788970929|103.71733604473825|103.51352976548405|103.34766763848403|103.49767008387694|103.58521303258146|103.16945996275614|103.45033112582777|103.28143712574854|102.83333333333333|102.63999999999999|</t>
  </si>
  <si>
    <t>3.4352859427942164|6.67000261295815|4.673769648861036|3.911659468827518|3.631468298132104|3.4928432169136405|3.224559607053849|3.0269383890499157|2.898874036813145|2.8409041823411005|2.8292816654435398|2.8294193205911418|2.8498488728802664|2.9305737826744127|2.829687563134989|2.60918663513354|2.5372428191688527|2.549008912169803|2.486829050419865|2.4820088626855004|2.502929818732289|2.4724873005310006|2.4384458170855257|2.4891345015395716|2.5125414707876406|2.473260228883563|2.479686640846888|2.483202745971344|2.509189804398127|2.5634553771696775|2.540454591558501|2.548801062780136|2.5071139265812965|2.501500036951287|2.609083007438823|2.534443846892759|2.6275570920465805|2.5249718608891842|2.452198012680067|2.3966626529218384|2.4922894664765294|2.510082296537068|2.444316951587758|2.281568661153015|2.590443977390749|</t>
  </si>
  <si>
    <t>151.0|151.0|125.0|123.0|126.0|123.0|123.0|120.0|120.0|123.0|121.0|120.0|118.0|119.0|118.0|120.0|118.0|116.0|115.0|114.0|116.0|117.0|115.0|117.0|113.0|113.0|113.0|112.0|112.0|114.0|113.0|113.0|112.0|113.0|113.0|112.0|112.0|112.0|112.0|111.0|112.0|113.0|108.0|107.0|107.0|</t>
  </si>
  <si>
    <t>3.8973941E7|2070891.0|2064181.0|2034820.0|1970783.0|1897505.0|1835504.0|1765210.0|1701302.0|1630043.0|1558295.0|1490733.0|1427162.0|1361017.0|1298385.0|1236914.0|1176467.0|1117282.0|1058496.0|1001031.0|938934.0|880191.0|825231.0|770980.0|709962.0|652660.0|597726.0|546966.0|493811.0|446697.0|399969.0|357944.0|316534.0|276606.0|239419.0|204012.0|172143.0|141793.0|111053.0|82661.0|55402.0|31242.0|17248.0|6170.0|2566.0|</t>
  </si>
  <si>
    <t>12l</t>
  </si>
  <si>
    <t>L001</t>
  </si>
  <si>
    <t>L002</t>
  </si>
  <si>
    <t>L004</t>
  </si>
  <si>
    <t>L005</t>
  </si>
  <si>
    <t>L006</t>
  </si>
  <si>
    <t>L009</t>
  </si>
  <si>
    <t>L010</t>
  </si>
  <si>
    <t>L011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</si>
  <si>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</si>
  <si>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</si>
  <si>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</si>
  <si>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</si>
  <si>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</si>
  <si>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</si>
  <si>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</si>
  <si>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</si>
  <si>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</si>
  <si>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</si>
  <si>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</si>
  <si>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</si>
  <si>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</si>
  <si>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</si>
  <si>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</si>
  <si>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L029</t>
  </si>
  <si>
    <t>L030</t>
  </si>
  <si>
    <t>L032</t>
  </si>
  <si>
    <t>L033</t>
  </si>
  <si>
    <t>L034</t>
  </si>
  <si>
    <t>L035</t>
  </si>
  <si>
    <t>L036</t>
  </si>
  <si>
    <t>L039</t>
  </si>
  <si>
    <t>L040</t>
  </si>
  <si>
    <t>L041</t>
  </si>
  <si>
    <t>L044</t>
  </si>
  <si>
    <t>L046</t>
  </si>
  <si>
    <t>L047</t>
  </si>
  <si>
    <t>L048</t>
  </si>
  <si>
    <t>L050</t>
  </si>
  <si>
    <t>L054</t>
  </si>
  <si>
    <t>L055</t>
  </si>
  <si>
    <t>L056</t>
  </si>
  <si>
    <t>L058</t>
  </si>
  <si>
    <t>L061</t>
  </si>
  <si>
    <t>L062</t>
  </si>
  <si>
    <t>L064</t>
  </si>
  <si>
    <t>L070</t>
  </si>
  <si>
    <t>L071</t>
  </si>
  <si>
    <t>L072</t>
  </si>
  <si>
    <t>L075</t>
  </si>
  <si>
    <t>L080</t>
  </si>
  <si>
    <t>L082</t>
  </si>
  <si>
    <t>L084</t>
  </si>
  <si>
    <t>L085</t>
  </si>
  <si>
    <t>L086</t>
  </si>
  <si>
    <t>L087</t>
  </si>
  <si>
    <t>L089</t>
  </si>
  <si>
    <t>L090</t>
  </si>
  <si>
    <t>L092</t>
  </si>
  <si>
    <t>L094</t>
  </si>
  <si>
    <t>L095</t>
  </si>
  <si>
    <t>L098</t>
  </si>
  <si>
    <t>L099</t>
  </si>
  <si>
    <t>L100</t>
  </si>
  <si>
    <t>L102</t>
  </si>
  <si>
    <t>L106</t>
  </si>
  <si>
    <t>L107</t>
  </si>
  <si>
    <t>L110</t>
  </si>
  <si>
    <t>L111</t>
  </si>
  <si>
    <t>L115</t>
  </si>
  <si>
    <t>L117</t>
  </si>
  <si>
    <t>L121</t>
  </si>
  <si>
    <t>L122</t>
  </si>
  <si>
    <t>L123</t>
  </si>
  <si>
    <t>L125</t>
  </si>
  <si>
    <t>L126</t>
  </si>
  <si>
    <t>L128</t>
  </si>
  <si>
    <t>L129</t>
  </si>
  <si>
    <t>L130</t>
  </si>
  <si>
    <t>L131</t>
  </si>
  <si>
    <t>L133</t>
  </si>
  <si>
    <t>L134</t>
  </si>
  <si>
    <t>L135</t>
  </si>
  <si>
    <t>L137</t>
  </si>
  <si>
    <t>L139</t>
  </si>
  <si>
    <t>L141</t>
  </si>
  <si>
    <t>L142</t>
  </si>
  <si>
    <t>L143</t>
  </si>
  <si>
    <t>L149</t>
  </si>
  <si>
    <t>L150</t>
  </si>
  <si>
    <t>L155</t>
  </si>
  <si>
    <t>L156</t>
  </si>
  <si>
    <t>L158</t>
  </si>
  <si>
    <t>L162</t>
  </si>
  <si>
    <t>L163</t>
  </si>
  <si>
    <t>L164</t>
  </si>
  <si>
    <t>L166</t>
  </si>
  <si>
    <t>L167</t>
  </si>
  <si>
    <t>L169</t>
  </si>
  <si>
    <t>L172</t>
  </si>
  <si>
    <t>L173</t>
  </si>
  <si>
    <t>L177</t>
  </si>
  <si>
    <t>L179</t>
  </si>
  <si>
    <t>L180</t>
  </si>
  <si>
    <t>study ID</t>
  </si>
  <si>
    <t>MRN</t>
  </si>
  <si>
    <t>Name</t>
  </si>
  <si>
    <t>DOB</t>
  </si>
  <si>
    <t>RECIST
durable response at least 24 wks</t>
  </si>
  <si>
    <t>irRECIST
durable response at least 24 wks</t>
  </si>
  <si>
    <t>Age</t>
  </si>
  <si>
    <t>Sex</t>
  </si>
  <si>
    <t>BMI</t>
  </si>
  <si>
    <t>Start date of Index treatment</t>
  </si>
  <si>
    <t>Tx DC date</t>
  </si>
  <si>
    <t>duration of treatment</t>
  </si>
  <si>
    <t>names of ICI regimen</t>
  </si>
  <si>
    <t>Chemotherapy containing regimen</t>
  </si>
  <si>
    <t>Smoking</t>
  </si>
  <si>
    <t>ECOG status</t>
  </si>
  <si>
    <t>Histology detail</t>
  </si>
  <si>
    <t>In house PDL1</t>
  </si>
  <si>
    <t>PDL1 tumor cells</t>
  </si>
  <si>
    <t>PDL1 immune cells</t>
  </si>
  <si>
    <t>Neutrophils</t>
  </si>
  <si>
    <t>Lymphocyte</t>
  </si>
  <si>
    <t>NLR</t>
  </si>
  <si>
    <t>Platelet</t>
  </si>
  <si>
    <t>Veristrat</t>
  </si>
  <si>
    <t>MSI
 (Guardant results)</t>
  </si>
  <si>
    <t>TMB value
 (Tempus results)</t>
  </si>
  <si>
    <t>TMB Tumor mutational burden</t>
  </si>
  <si>
    <t>Gene mutation</t>
  </si>
  <si>
    <t>TP53</t>
  </si>
  <si>
    <t>KRAS</t>
  </si>
  <si>
    <t>EGFR</t>
  </si>
  <si>
    <t>CDKN2A</t>
  </si>
  <si>
    <t>BRAF</t>
  </si>
  <si>
    <t>ARID1A</t>
  </si>
  <si>
    <t>ATM</t>
  </si>
  <si>
    <t>ALK rearrangement</t>
  </si>
  <si>
    <t>PIK3CA</t>
  </si>
  <si>
    <t>MET</t>
  </si>
  <si>
    <t>STK11</t>
  </si>
  <si>
    <t>BRCA2</t>
  </si>
  <si>
    <t>PTEN</t>
  </si>
  <si>
    <t>NF1</t>
  </si>
  <si>
    <t>RB1</t>
  </si>
  <si>
    <t>ROS1</t>
  </si>
  <si>
    <t>CDKN2B</t>
  </si>
  <si>
    <t>ERBB2</t>
  </si>
  <si>
    <t>BRCA1</t>
  </si>
  <si>
    <t>NOTCH1</t>
  </si>
  <si>
    <t>TTF1 expression</t>
  </si>
  <si>
    <t>T stage</t>
  </si>
  <si>
    <t>N stage</t>
  </si>
  <si>
    <t>M stage</t>
  </si>
  <si>
    <t>TNM stage</t>
  </si>
  <si>
    <t>Brain meta at diagnosis</t>
  </si>
  <si>
    <t>Bone meta at diagnosis</t>
  </si>
  <si>
    <t>Liver meta at diagnosis</t>
  </si>
  <si>
    <t>Contralateral lung</t>
  </si>
  <si>
    <t>Adrenal gland</t>
  </si>
  <si>
    <t>Extrathoracic LN</t>
  </si>
  <si>
    <t>Pleura</t>
  </si>
  <si>
    <t>Others</t>
  </si>
  <si>
    <t>Number of organ with metastasis</t>
  </si>
  <si>
    <t>Pneumonitis</t>
  </si>
  <si>
    <t>CTCAE grade</t>
  </si>
  <si>
    <t>Date of pneumonitis</t>
  </si>
  <si>
    <t>Time to pneumonitis</t>
  </si>
  <si>
    <t>immunotherapy-related pneumonitis</t>
  </si>
  <si>
    <t>radiation-related pneumonitis</t>
  </si>
  <si>
    <t>reason</t>
  </si>
  <si>
    <t>Death during index Tx</t>
  </si>
  <si>
    <t>progression</t>
  </si>
  <si>
    <t>Date of progression</t>
  </si>
  <si>
    <t>PFS</t>
  </si>
  <si>
    <t>PFS_months</t>
  </si>
  <si>
    <t>Death</t>
  </si>
  <si>
    <t>Last follow-up</t>
  </si>
  <si>
    <t>fu</t>
  </si>
  <si>
    <t>Date of death or last f/u</t>
  </si>
  <si>
    <t>OS</t>
  </si>
  <si>
    <t>OS_months</t>
  </si>
  <si>
    <t>Exclusion Criteria</t>
  </si>
  <si>
    <t>pembrolizumab</t>
  </si>
  <si>
    <t>adeno</t>
  </si>
  <si>
    <t>NA</t>
  </si>
  <si>
    <t>KRAS, TTF1, CHEK2, ERBB3, SMARCB1, CDKN2A, MTOR, NF1, NOTCH1, NOTCH3, PALB2, PDGFRA, RAD50, RB1, SETD2</t>
  </si>
  <si>
    <t>T1a</t>
  </si>
  <si>
    <t>N3</t>
  </si>
  <si>
    <t>M1</t>
  </si>
  <si>
    <t>IV</t>
  </si>
  <si>
    <t>pembrolizumab,carboplatin</t>
  </si>
  <si>
    <t>TP53,TTF1, BRAF,CK7</t>
  </si>
  <si>
    <t>T2</t>
  </si>
  <si>
    <t>carboplatin, abraxane, pembrolizumab</t>
  </si>
  <si>
    <t>TTF1, BRAF,PIK3CA</t>
  </si>
  <si>
    <t>T4</t>
  </si>
  <si>
    <t>carboplatin,pemetrexed, pembrolizumab</t>
  </si>
  <si>
    <t>TTF1, EGFR,CK7,FGFR2</t>
  </si>
  <si>
    <t>T3</t>
  </si>
  <si>
    <t>N/A</t>
  </si>
  <si>
    <t>carboplatin, pembrolizumab, paclitaxel</t>
  </si>
  <si>
    <t>KRAS, TTF1</t>
  </si>
  <si>
    <t>Lost to f/u after 9/10/2015</t>
  </si>
  <si>
    <t>Carboplatin, Abraxan, Pembrolizumab</t>
  </si>
  <si>
    <t>adenosquamous</t>
  </si>
  <si>
    <t>TP53,TTF1</t>
  </si>
  <si>
    <t>NX</t>
  </si>
  <si>
    <t>Adeno</t>
  </si>
  <si>
    <t>KRAS,CDKN2A,RAD50,RNF43,SMAD4,</t>
  </si>
  <si>
    <t>KRAS, mTOR, POLE, RAD50, SLX4, MET, TTF1,ATM</t>
  </si>
  <si>
    <t>TTF1,ROS1,MPL</t>
  </si>
  <si>
    <t>IIIB</t>
  </si>
  <si>
    <t>TP53,TTF1, Cytokeratin AE1/AE3 ,ARAF,TERT,SMAD4</t>
  </si>
  <si>
    <t>KRAS,TTF1,ATRX,STK11,U2AF1,FGFR1</t>
  </si>
  <si>
    <t>MET, ERCC2, NF1, RB1, TP53, NOTCH1, TTF1</t>
  </si>
  <si>
    <t>cTx</t>
  </si>
  <si>
    <t>cNx</t>
  </si>
  <si>
    <t>pM1c</t>
  </si>
  <si>
    <t>IVB</t>
  </si>
  <si>
    <t>KRAS,TP53,TTF1,FANCD2,NOTCH2.NTRK2,SLX4,CDKN2B,CDKN1B</t>
  </si>
  <si>
    <t>cT4</t>
  </si>
  <si>
    <t>M1a</t>
  </si>
  <si>
    <t>60~70</t>
  </si>
  <si>
    <t>0~5</t>
  </si>
  <si>
    <t>EGFR,BRCA1</t>
  </si>
  <si>
    <t>N1</t>
  </si>
  <si>
    <t>M1b</t>
  </si>
  <si>
    <t>carboplatin, pembrolizumab, pemetrexed</t>
  </si>
  <si>
    <t>TP53,SMARCA4,LRP1B,ARID2,PDGFRA,FGFR2,BRCA1</t>
  </si>
  <si>
    <t>IVA</t>
  </si>
  <si>
    <t>5~10</t>
  </si>
  <si>
    <t>cT2b</t>
  </si>
  <si>
    <t>cN1</t>
  </si>
  <si>
    <t>cM1b</t>
  </si>
  <si>
    <t>poorly differentiated adenocarcinoma</t>
  </si>
  <si>
    <t>TTF1,MAP2K1,ATRX,BRCA1,MDM2,MSH2,PDGFRB,CDKN1B</t>
  </si>
  <si>
    <t>Sqcc</t>
  </si>
  <si>
    <t>ERRFI1,SOX2,NFE2L2,RB1,TP53, MET, ARD1A,NOTCH1,MYC,PIK3CA,</t>
  </si>
  <si>
    <t>cT3</t>
  </si>
  <si>
    <t>BerEp4,B72.3,WT-1,D2-40,TTF1,TP53,PIK3CA,PDGFRA,EGFR,FGFR2,RAF1,KIT,BRCA2,CDKN2A,PDGFRA,BRCA1,RB1</t>
  </si>
  <si>
    <t>AE1/AE3,Cam5.2,CDKN2A,TP53,ARID1A,PIK3CA</t>
  </si>
  <si>
    <t>&lt;1</t>
  </si>
  <si>
    <t>MET, KRAS, TP53,TTF1,KIT,BRCA2,</t>
  </si>
  <si>
    <t>N2</t>
  </si>
  <si>
    <t>M1c</t>
  </si>
  <si>
    <t>p40,TP53,NFE2L2,PIK3CA,ARID1A,MTOR,SMAD4</t>
  </si>
  <si>
    <t>M0</t>
  </si>
  <si>
    <t>nivolumab</t>
  </si>
  <si>
    <t>CDKN2A, TP53, MLL2,TERT</t>
  </si>
  <si>
    <t>KRAS,TTF1,CK7,CDX2,EGFR</t>
  </si>
  <si>
    <t>TTF1,ALK,Napsin A</t>
  </si>
  <si>
    <t>obstructive</t>
  </si>
  <si>
    <t>1-2%</t>
  </si>
  <si>
    <t>Tx</t>
  </si>
  <si>
    <t>BRAF, ATM, POLE, IGF1R, FANCA, STK11,TTF1,FGFR2,HRAS,KEAP1</t>
  </si>
  <si>
    <t>EGFR, PMS2, FANCD2, MRE11A, POLE, TSC2, CDKN2A, CDKN2B,TTF1</t>
  </si>
  <si>
    <t>TTF1</t>
  </si>
  <si>
    <t>IIIC</t>
  </si>
  <si>
    <t>Atezolizumab</t>
  </si>
  <si>
    <t>CK7, ARD1A, KRAS</t>
  </si>
  <si>
    <t>KRAS,TP53,TTF1,NF1</t>
  </si>
  <si>
    <t>Nx</t>
  </si>
  <si>
    <t>NOTCH1, BRCA2, CDKN2A, MLH1, PIK3CA, PIK3R1,TP53,</t>
  </si>
  <si>
    <t>cT2a</t>
  </si>
  <si>
    <t>cN2</t>
  </si>
  <si>
    <t>IIIA</t>
  </si>
  <si>
    <t>TTF1,BerEP4,Napsin-A,TP53,ARD1A,EGFR</t>
  </si>
  <si>
    <t>T2b</t>
  </si>
  <si>
    <t>SF3B1</t>
  </si>
  <si>
    <t>CK7, CK20, p63, TTF-1,STK11, AKT2 amp, TP53, TTF1,BARD1, MCL1 amp, BRCA2, SmARCA4, AXL amp, NOTCH2</t>
  </si>
  <si>
    <t>oligometastatic NSCLC, carcinoma</t>
  </si>
  <si>
    <t>PDL1, CK20, CDX20</t>
  </si>
  <si>
    <t>KRAS, SMARCA4,TTF1, Napsin, cytokeratin 7,cytokeratin 20</t>
  </si>
  <si>
    <t>Carboplatin, paclitaxel, bevacizumab, and atezolizumab</t>
  </si>
  <si>
    <t>EGFR, TP53,TTF1</t>
  </si>
  <si>
    <t>EGFR,TTF1,TP53,AR,KIT</t>
  </si>
  <si>
    <t>Lost to f/u. Had severe diseae progression&amp;went to hospice at 2019.</t>
  </si>
  <si>
    <t>KRAS G12V</t>
  </si>
  <si>
    <t>T1</t>
  </si>
  <si>
    <t>pembrolizumb</t>
  </si>
  <si>
    <t>1-25%</t>
  </si>
  <si>
    <t>&gt;25</t>
  </si>
  <si>
    <t>KRAS,TTF1, CDK4 , KRAS G12C, STK11 V236fs*51,
 GLI1, MDM2, MYC, NKX2-1</t>
  </si>
  <si>
    <t>atezolizumab</t>
  </si>
  <si>
    <t>ALK, ROS1 (6q22), Napsin-A ,CK7</t>
  </si>
  <si>
    <t>TTF1,Napsin,</t>
  </si>
  <si>
    <t>poorly differentiated large cell carcinoma</t>
  </si>
  <si>
    <t>AE1/AE3 , CK7, ALK, EGFR, TP53, APC, BRAF</t>
  </si>
  <si>
    <t>1-5%</t>
  </si>
  <si>
    <t>TP53,TTF1,BRAF,ALK ,exons 18, 19, 20, and 21,EGFR,ERBB2,PIK3CA,BRAF,CDKN2,FAT1,MAP2K4,RBM1,SPTA1</t>
  </si>
  <si>
    <t>carboplatin, taxol, atezolizumab, bevacizumab</t>
  </si>
  <si>
    <t>EGFR,TTF1, ATM</t>
  </si>
  <si>
    <t>Poorly differentiated carcinoma</t>
  </si>
  <si>
    <t>FBXW7, TP53</t>
  </si>
  <si>
    <t>non-small cell lung carcinoma</t>
  </si>
  <si>
    <t>durvalumab</t>
  </si>
  <si>
    <t>TP53,CK 7,Erb2,ERBB2, FGFR2, PDGFRa, STK11, TP53, CDKN2A, MYC, SMAD2, ARID1A, CSF1R, MYST3</t>
  </si>
  <si>
    <t>15-20%</t>
  </si>
  <si>
    <t>TP53,P63,ROS1,CDKN2A,PIK3CA,MET,BRAF,EGFR,CDK6,TTF1</t>
  </si>
  <si>
    <t>TTF1,CK7+,GNAS</t>
  </si>
  <si>
    <t>EGFR, TP53,TTF1,ATM,PIK3CA,CCNE1</t>
  </si>
  <si>
    <t>cT2</t>
  </si>
  <si>
    <t>cN3</t>
  </si>
  <si>
    <t>3-5%</t>
  </si>
  <si>
    <t>DDR2, TP53,TTF1</t>
  </si>
  <si>
    <t>F/U loss in 10/4/2018, f/u to new oncologist (Dr. Yubi)</t>
  </si>
  <si>
    <t>TTF1,BRAF</t>
  </si>
  <si>
    <t>EGFR,TP53, TTF1</t>
  </si>
  <si>
    <t>TTF1,Synaptophysin,Chromograin,CD56,Ki-67,ALK,</t>
  </si>
  <si>
    <t>carcinoma</t>
  </si>
  <si>
    <t>TP53,TTF1, PTEN, CDKN</t>
  </si>
  <si>
    <t>ALK,ROS1,BRAF</t>
  </si>
  <si>
    <t>KRAS,TP53, ck7, CTNNB1, GNAS</t>
  </si>
  <si>
    <t>poorly differentiated</t>
  </si>
  <si>
    <t>EGFR, PTEN, TP53, TTF1 CDKN2B,CK7</t>
  </si>
  <si>
    <t>cM1</t>
  </si>
  <si>
    <t>TP53, TTF1, Synaptophysin, Chromogranin, BRCA1, PIK3CA, NOTCH1, NTRK3, CCND1</t>
  </si>
  <si>
    <t>TP53, TTF1, BRAF</t>
  </si>
  <si>
    <t>&gt;50</t>
  </si>
  <si>
    <t>TTF1,MYC,CK7 , A198T</t>
  </si>
  <si>
    <t xml:space="preserve">F/U loss due to hospice transfer </t>
  </si>
  <si>
    <t>carboplatin , pemetrexed, bevacizumab, atezolizumab</t>
  </si>
  <si>
    <t>EGFR,KRAS,TP53,ALK,BRAF, STK11, , KRAS, BRAF, MET, EGFR, JAK2</t>
  </si>
  <si>
    <t>MPDL3280A (antil PDL1) atezolizumab</t>
  </si>
  <si>
    <t>nivolumab, ipilu,ab</t>
  </si>
  <si>
    <t>metastatic lung cancer</t>
  </si>
  <si>
    <t>STK11, TP53, KRAS</t>
  </si>
  <si>
    <t>ipilumab, nivolumab</t>
  </si>
  <si>
    <t>CDKN2A, TP53, KMT2A</t>
  </si>
  <si>
    <t>30-40</t>
  </si>
  <si>
    <t>KRAS,TTF1</t>
  </si>
  <si>
    <t>TP53,TTF1, HER2, IDH2, ATM, ERBB2</t>
  </si>
  <si>
    <t>TP53, EGFR, BRCA2</t>
  </si>
  <si>
    <t>TP53,CDKN2A,APC,PIK3R1,MLL2</t>
  </si>
  <si>
    <t>KRAS,TP53,BRAF,CDKN2A, KMT2D, TP53, FANCA</t>
  </si>
  <si>
    <t>poorly differentiated NSCLC</t>
  </si>
  <si>
    <t>TP53, ARID1A, FGFR1, GNAS, CSKN2, PDL1, AE1, Vimentin, CD5, CD117, p40. CAM5</t>
  </si>
  <si>
    <t>nivolumab, ipilirumab</t>
  </si>
  <si>
    <t>EGFR,KRAS, TP53,TTF1,GNAS,CDKN2A,CDK4,PDGFRA,MAP2K2,PDGFRA, STK11, CDK4, CDKN2A, MET, AR, BRAF, ERBB2, CCNE1</t>
  </si>
  <si>
    <t>T1b</t>
  </si>
  <si>
    <t>N0</t>
  </si>
  <si>
    <t>stop therapy ealier due side effect</t>
  </si>
  <si>
    <t>pembrolizumab, pemetrexed, carboplatin</t>
  </si>
  <si>
    <t>KRAS,TTF1,CK7, Napsin, CHEK2, PDL1, TP53</t>
  </si>
  <si>
    <t>EGFR, TTF1, APC</t>
  </si>
  <si>
    <t>TTF1,CK7,ALK</t>
  </si>
  <si>
    <t>T2a</t>
  </si>
  <si>
    <t>pembrolizumab, carboplatin, pemetrexed</t>
  </si>
  <si>
    <t>adenocarcinoma</t>
  </si>
  <si>
    <t>KRAS,ATM K1317N , NOTCH1, NF1, PIK3CA, TP53</t>
  </si>
  <si>
    <t>carboplatin, pemetrexed, pembrolizuamb, bevacizumab</t>
  </si>
  <si>
    <t>EGFR, PTEN, BRCA2, TTF1</t>
  </si>
  <si>
    <t>cT1c</t>
  </si>
  <si>
    <t>none</t>
  </si>
  <si>
    <t>Lost to f/u, Pt decide to go hospice</t>
  </si>
  <si>
    <t>PDL1, CK7, AE1/AE3, KRAS, TP53, STK11, CDKN2A, RB1, NF1, MET, KEAP1</t>
  </si>
  <si>
    <t>PDL1, JAK2,AE1/3, TTF1, CK7, ALK, ROS1</t>
  </si>
  <si>
    <t>treatment onhold because colitis</t>
  </si>
  <si>
    <t>atezolizumab, bevacizumab, PEMEtrexed, CARBOplatin</t>
  </si>
  <si>
    <t>EGFR,TP53,BRAF,CTNNB1,APC,CHEK2,KIT,MSH6,TTF1</t>
  </si>
  <si>
    <t>EGFR, TP53, KRAS, TERT, FGFR1, PTEN, BRAF, DDR2, FGFR2,TTF1</t>
  </si>
  <si>
    <t>STK11, BRCA1, TP53, PDGFRA, FGFR2, EGFR, ERBBB2, ATRX, PMS2, TSC2, DKN2A, DKN2B</t>
  </si>
  <si>
    <t>adenosquamous cell carcinoma</t>
  </si>
  <si>
    <t>p40 ,PIK3CA,CDKN2A,KRAS,STK11,MDM4,ATR,TSC1,PALB2,MDM4,PMS2,TTF1</t>
  </si>
  <si>
    <t>paclitaxel, nivolumab, ipilumab</t>
  </si>
  <si>
    <t>squamous cell carcinoma</t>
  </si>
  <si>
    <t>TP53, FAT1,FGFR1</t>
  </si>
  <si>
    <t>PEMEtrexed, CARBOplatin, pembrolizumab</t>
  </si>
  <si>
    <t>TP53, NOTCH1, SMARCA4, SDC4-ROS1, CK7, TTF-1, GNAS, PTEN</t>
  </si>
  <si>
    <t>pembrolizumab, PACLitaxel, CARBOplatin</t>
  </si>
  <si>
    <t>PTEN, TP53, CHD2, CUL4A, IRS2</t>
  </si>
  <si>
    <t>other reason</t>
  </si>
  <si>
    <t>Invasive carcinoma, with glandular and squamous differentiation</t>
  </si>
  <si>
    <t>TP53, FGF19, POLE, SMARCA4, AR, P40</t>
  </si>
  <si>
    <t xml:space="preserve">F/U loss after home transfer </t>
  </si>
  <si>
    <t>ATM, BRCA2, ARID1A, KRAS, TP53, BXW7, FGFR3, KIT, NBN, LX4,TTF1</t>
  </si>
  <si>
    <t>T1c</t>
  </si>
  <si>
    <t>Stroke</t>
  </si>
  <si>
    <t>SMARCA4, FANCD2, EGFR</t>
  </si>
  <si>
    <t>nivolumab, ipilimumab, PEMEtrexed, CARBOplatin</t>
  </si>
  <si>
    <t>CHEK2, TERT, PTPN11, CCNE1, MTOR, CTNNB1,TTF1</t>
  </si>
  <si>
    <t>KRAS, TP53, TTF-1, RB1</t>
  </si>
  <si>
    <t>PACLitaxel, CARBOplatin, Nivolumab, Ipilimumab</t>
  </si>
  <si>
    <t>ATM, FBXW7, TP53, CCNE1, AR, NOTCH1, APC, MET, RB1, BRCA1, PTCH1, ARID1B, KEAP1</t>
  </si>
  <si>
    <t>paclitaxel, carboplatin, pembrolizumab</t>
  </si>
  <si>
    <t>p40, CK7, mucicarmine</t>
  </si>
  <si>
    <t>CAM 5.2, cytokeratin 7, HER2, CDX-2, PD-L1, ARID1A, TP53, CDKN2A, CDKN2B, KRAS, PTEN, STK11, NF1, RAD50, CDKN1B</t>
  </si>
  <si>
    <t>Non-responder (PD) =0
 Responder (CR/PR/SD) =1</t>
  </si>
  <si>
    <t>Non-responder=0
 Responder=1</t>
  </si>
  <si>
    <t>years</t>
  </si>
  <si>
    <t>1: Female
 2: Male</t>
  </si>
  <si>
    <t>At first immunotherapy
 (immunotherapy-naive)</t>
  </si>
  <si>
    <t>yyyy-mm-dd
  0 = no discontinuation
  (whenever, last treatment date)</t>
  </si>
  <si>
    <t>days</t>
  </si>
  <si>
    <t>months</t>
  </si>
  <si>
    <t>Describe in detail</t>
  </si>
  <si>
    <t>0= no (IO only)
 1=yes</t>
  </si>
  <si>
    <t>1 never
 2 former
 3 current</t>
  </si>
  <si>
    <t>1=adeno
 2-Sqcc
 3=adenosquamous
 4=poorly diff
 5= others</t>
  </si>
  <si>
    <t>1=adeno
 2=Sqcc
 3=adenosquamous
 4=poorly differentiated</t>
  </si>
  <si>
    <t>0: &lt;1%
 1: &gt;=1%
 2: NA</t>
  </si>
  <si>
    <t>value</t>
  </si>
  <si>
    <t>%</t>
  </si>
  <si>
    <t>0: &lt; 4.3
 1: &gt;= 4.3</t>
  </si>
  <si>
    <t>count (K)
 normal: 140-390K</t>
  </si>
  <si>
    <t>0: &lt;400k
 1: &gt;= 400k</t>
  </si>
  <si>
    <t>o=good
 1=intermediate
 2=poor
 3=NA</t>
  </si>
  <si>
    <t>0: (-)
 1: (+)
 2: NA</t>
  </si>
  <si>
    <t>0: &lt;6.8
 1: &gt;=6.8
 2: NA</t>
  </si>
  <si>
    <t>in detail</t>
  </si>
  <si>
    <t>1=asymptomatic
2= symptomatic, medical intervention indicated
3=severe symptoms; oxygen indicated
4=life-threatening respiratory compromise
5=death</t>
  </si>
  <si>
    <t>yyyy-mm-dd</t>
  </si>
  <si>
    <t>mixed n=2</t>
  </si>
  <si>
    <t>0 = no
 1 = yes</t>
  </si>
  <si>
    <t>Reason for exclusion</t>
  </si>
  <si>
    <t>Don't change!!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</si>
</sst>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16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C5CC-0981-443F-8AF5-4E68B8EA0C90}">
  <dimension ref="A1:GA127"/>
  <sheetViews>
    <sheetView workbookViewId="0">
      <selection activeCell="E4" sqref="E4"/>
    </sheetView>
  </sheetViews>
  <sheetFormatPr baseColWidth="10" defaultColWidth="8.83203125" defaultRowHeight="15" x14ac:dyDescent="0.2"/>
  <sheetData>
    <row r="1" spans="1:183" x14ac:dyDescent="0.2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</row>
    <row r="2" spans="1:183" x14ac:dyDescent="0.2">
      <c r="A2" t="s">
        <v>2448</v>
      </c>
      <c r="B2" t="s">
        <v>182</v>
      </c>
      <c r="C2" t="s">
        <v>183</v>
      </c>
      <c r="D2" s="1">
        <v>43752</v>
      </c>
      <c r="E2" t="s">
        <v>184</v>
      </c>
      <c r="F2" t="s">
        <v>185</v>
      </c>
      <c r="G2" t="s">
        <v>186</v>
      </c>
      <c r="H2">
        <v>1</v>
      </c>
      <c r="I2">
        <v>400</v>
      </c>
      <c r="J2">
        <v>10</v>
      </c>
      <c r="K2" t="s">
        <v>187</v>
      </c>
      <c r="L2" t="s">
        <v>188</v>
      </c>
      <c r="M2">
        <v>5</v>
      </c>
      <c r="N2">
        <v>0.9296875</v>
      </c>
      <c r="O2">
        <v>0.9296875</v>
      </c>
      <c r="P2" t="s">
        <v>189</v>
      </c>
      <c r="Q2">
        <v>0</v>
      </c>
      <c r="R2">
        <v>106</v>
      </c>
      <c r="T2">
        <v>1172.9527029999999</v>
      </c>
      <c r="U2">
        <v>1240.297546</v>
      </c>
      <c r="V2">
        <v>287</v>
      </c>
      <c r="W2">
        <v>787.95732640000006</v>
      </c>
      <c r="X2">
        <v>0.67177246300000004</v>
      </c>
      <c r="Y2">
        <v>18.857041049999999</v>
      </c>
      <c r="Z2">
        <v>2.9919306E-2</v>
      </c>
      <c r="AA2">
        <v>0.31805723600000002</v>
      </c>
      <c r="AB2">
        <v>1.464979587</v>
      </c>
      <c r="AC2">
        <v>0.68260336799999999</v>
      </c>
      <c r="AD2">
        <v>0.46497958700000003</v>
      </c>
      <c r="AE2" t="s">
        <v>190</v>
      </c>
      <c r="AF2" t="s">
        <v>191</v>
      </c>
      <c r="AG2" t="s">
        <v>192</v>
      </c>
      <c r="AH2" t="s">
        <v>193</v>
      </c>
      <c r="AI2" t="s">
        <v>193</v>
      </c>
      <c r="AJ2" t="s">
        <v>193</v>
      </c>
      <c r="AK2" t="s">
        <v>193</v>
      </c>
      <c r="AL2" t="s">
        <v>193</v>
      </c>
      <c r="AM2" t="s">
        <v>193</v>
      </c>
      <c r="AN2" t="s">
        <v>193</v>
      </c>
      <c r="AO2" t="s">
        <v>193</v>
      </c>
      <c r="AP2" t="s">
        <v>193</v>
      </c>
      <c r="AQ2">
        <v>1.757075956</v>
      </c>
      <c r="AR2" t="s">
        <v>193</v>
      </c>
      <c r="AS2" t="s">
        <v>193</v>
      </c>
      <c r="AT2">
        <v>22.720352810000001</v>
      </c>
      <c r="AU2" t="s">
        <v>193</v>
      </c>
      <c r="AV2">
        <v>-162762.51360000001</v>
      </c>
      <c r="AW2">
        <v>-138.7630662</v>
      </c>
      <c r="AX2">
        <v>20868.522260000002</v>
      </c>
      <c r="AY2">
        <v>-0.46641353699999999</v>
      </c>
      <c r="AZ2">
        <v>-0.62106583900000001</v>
      </c>
      <c r="BA2">
        <v>-126</v>
      </c>
      <c r="BB2">
        <v>-587</v>
      </c>
      <c r="BC2">
        <v>-332</v>
      </c>
      <c r="BD2">
        <v>-250</v>
      </c>
      <c r="BE2">
        <v>-126</v>
      </c>
      <c r="BF2">
        <v>-9</v>
      </c>
      <c r="BG2">
        <v>30</v>
      </c>
      <c r="BH2">
        <v>144.45941389999999</v>
      </c>
      <c r="BI2">
        <v>107</v>
      </c>
      <c r="BJ2">
        <v>241</v>
      </c>
      <c r="BK2">
        <v>694</v>
      </c>
      <c r="BL2">
        <v>122.79799439999999</v>
      </c>
      <c r="BM2">
        <v>95.410468320000007</v>
      </c>
      <c r="BN2">
        <v>122.3937282</v>
      </c>
      <c r="BO2">
        <v>-1.0410508919999999</v>
      </c>
      <c r="BP2">
        <v>-0.930501931</v>
      </c>
      <c r="BQ2" t="s">
        <v>194</v>
      </c>
      <c r="BR2" s="2">
        <v>11500000</v>
      </c>
      <c r="BS2">
        <v>200.3090382</v>
      </c>
      <c r="BT2">
        <v>-172.10749050000001</v>
      </c>
      <c r="BU2">
        <v>0</v>
      </c>
      <c r="BV2" t="s">
        <v>194</v>
      </c>
      <c r="BW2" t="s">
        <v>194</v>
      </c>
      <c r="BX2" t="s">
        <v>194</v>
      </c>
      <c r="BY2" t="s">
        <v>194</v>
      </c>
      <c r="BZ2" t="s">
        <v>194</v>
      </c>
      <c r="CA2" t="s">
        <v>195</v>
      </c>
      <c r="CB2" t="s">
        <v>196</v>
      </c>
      <c r="CC2" t="s">
        <v>197</v>
      </c>
      <c r="CD2" t="s">
        <v>198</v>
      </c>
      <c r="CE2" t="s">
        <v>199</v>
      </c>
      <c r="CF2" t="s">
        <v>200</v>
      </c>
      <c r="CG2" t="s">
        <v>201</v>
      </c>
      <c r="CH2">
        <v>86.658536589999997</v>
      </c>
      <c r="CI2">
        <v>208.06458739999999</v>
      </c>
      <c r="CJ2">
        <v>-0.46788187799999997</v>
      </c>
      <c r="CK2">
        <v>-0.62654954699999998</v>
      </c>
      <c r="CL2">
        <v>88</v>
      </c>
      <c r="CM2">
        <v>42</v>
      </c>
      <c r="CN2">
        <v>67</v>
      </c>
      <c r="CO2">
        <v>76</v>
      </c>
      <c r="CP2">
        <v>88</v>
      </c>
      <c r="CQ2">
        <v>100</v>
      </c>
      <c r="CR2">
        <v>104</v>
      </c>
      <c r="CS2">
        <v>14.42444409</v>
      </c>
      <c r="CT2">
        <v>111</v>
      </c>
      <c r="CU2">
        <v>100</v>
      </c>
      <c r="CV2">
        <v>24</v>
      </c>
      <c r="CW2">
        <v>69</v>
      </c>
      <c r="CX2">
        <v>12.266678000000001</v>
      </c>
      <c r="CY2">
        <v>9.7317632940000003</v>
      </c>
      <c r="CZ2">
        <v>12.212543549999999</v>
      </c>
      <c r="DA2">
        <v>0.166451508</v>
      </c>
      <c r="DB2">
        <v>0.13636363600000001</v>
      </c>
      <c r="DC2">
        <v>1.687250516</v>
      </c>
      <c r="DD2">
        <v>5.6049248909999996</v>
      </c>
      <c r="DE2">
        <v>866.58536590000006</v>
      </c>
      <c r="DF2">
        <v>2.3249038E-2</v>
      </c>
      <c r="DG2">
        <v>9.0003940000000001E-3</v>
      </c>
      <c r="DH2">
        <v>3.5</v>
      </c>
      <c r="DI2">
        <v>86</v>
      </c>
      <c r="DJ2">
        <v>-4</v>
      </c>
      <c r="DK2">
        <v>84</v>
      </c>
      <c r="DL2" t="s">
        <v>194</v>
      </c>
      <c r="DM2" t="s">
        <v>194</v>
      </c>
      <c r="DN2" t="s">
        <v>194</v>
      </c>
      <c r="DO2" t="s">
        <v>194</v>
      </c>
      <c r="DP2" t="s">
        <v>194</v>
      </c>
      <c r="DQ2" t="s">
        <v>202</v>
      </c>
      <c r="DR2" t="s">
        <v>203</v>
      </c>
      <c r="DS2" t="s">
        <v>204</v>
      </c>
      <c r="DT2" t="s">
        <v>205</v>
      </c>
      <c r="DU2" t="s">
        <v>199</v>
      </c>
      <c r="DV2" t="s">
        <v>200</v>
      </c>
      <c r="DW2" t="s">
        <v>206</v>
      </c>
      <c r="DX2">
        <v>6.7307690000000002E-3</v>
      </c>
      <c r="DY2">
        <v>87.283653849999993</v>
      </c>
      <c r="DZ2">
        <v>200.66377130000001</v>
      </c>
      <c r="EA2">
        <v>9.6190900050000003</v>
      </c>
      <c r="EB2">
        <v>2.8956346220000002</v>
      </c>
      <c r="EC2">
        <v>6.4403846150000001</v>
      </c>
      <c r="ED2">
        <v>32.809907539999998</v>
      </c>
      <c r="EE2">
        <v>9.6190900050000003</v>
      </c>
      <c r="EF2">
        <v>174.56730769999999</v>
      </c>
      <c r="EG2">
        <v>272.40945010000002</v>
      </c>
      <c r="EH2">
        <v>1.1738871120000001</v>
      </c>
      <c r="EI2">
        <v>1.6544929999999999E-3</v>
      </c>
      <c r="EJ2">
        <v>74.28846154</v>
      </c>
      <c r="EK2">
        <v>6.4403846150000001</v>
      </c>
      <c r="EL2">
        <v>0.26023721700000002</v>
      </c>
      <c r="EM2">
        <v>0.92050238699999998</v>
      </c>
      <c r="EN2">
        <v>0.17430620499999999</v>
      </c>
      <c r="EO2">
        <v>0.98564173499999996</v>
      </c>
      <c r="EP2">
        <v>0</v>
      </c>
      <c r="EQ2">
        <v>0.81489318899999996</v>
      </c>
      <c r="ER2">
        <v>7781.9557690000001</v>
      </c>
      <c r="ES2">
        <v>272.40945010000002</v>
      </c>
      <c r="ET2">
        <v>-8983.8661620000003</v>
      </c>
      <c r="EU2">
        <v>1206609.8160000001</v>
      </c>
      <c r="EV2">
        <v>0.95386714800000005</v>
      </c>
      <c r="EW2">
        <v>1.2095029559999999</v>
      </c>
      <c r="EX2" s="2">
        <v>1.4899999999999999E-4</v>
      </c>
      <c r="EY2">
        <v>7656.8023979999998</v>
      </c>
      <c r="EZ2" s="2">
        <v>1.4300000000000001E-4</v>
      </c>
      <c r="FA2">
        <v>7260.8833619999996</v>
      </c>
      <c r="FB2" s="2">
        <v>1.75E-4</v>
      </c>
      <c r="FC2">
        <v>9475.7242740000002</v>
      </c>
      <c r="FD2">
        <v>6.153583652</v>
      </c>
      <c r="FE2">
        <v>238.58853120000001</v>
      </c>
      <c r="FF2">
        <v>0.93815331000000002</v>
      </c>
      <c r="FG2">
        <v>4.8775582999999997E-2</v>
      </c>
      <c r="FH2">
        <v>0.41095905399999999</v>
      </c>
      <c r="FI2">
        <v>5.0587469999999997E-3</v>
      </c>
      <c r="FJ2">
        <v>4487.1456269999999</v>
      </c>
      <c r="FK2">
        <v>67.733799840000003</v>
      </c>
      <c r="FL2">
        <v>0.83953039399999996</v>
      </c>
      <c r="FM2">
        <v>2.112107623</v>
      </c>
      <c r="FN2" s="2">
        <v>1.5300000000000001E-4</v>
      </c>
      <c r="FO2">
        <v>7457.4753360000004</v>
      </c>
      <c r="FP2" s="2">
        <v>1.3200000000000001E-4</v>
      </c>
      <c r="FQ2">
        <v>6108.6292970000004</v>
      </c>
      <c r="FR2" s="2">
        <v>2.9100000000000003E-4</v>
      </c>
      <c r="FS2">
        <v>17285.340810000002</v>
      </c>
      <c r="FT2">
        <v>4.9282511209999997</v>
      </c>
      <c r="FU2">
        <v>2.2099780999999999E-2</v>
      </c>
      <c r="FV2">
        <v>147.08071749999999</v>
      </c>
      <c r="FW2">
        <v>0.65955478700000003</v>
      </c>
      <c r="FX2">
        <v>0.77700348399999997</v>
      </c>
      <c r="FY2">
        <v>206.5328078</v>
      </c>
      <c r="FZ2">
        <v>0.45575016600000001</v>
      </c>
      <c r="GA2">
        <v>6.2217859320000004</v>
      </c>
    </row>
    <row r="3" spans="1:183" x14ac:dyDescent="0.2">
      <c r="A3" t="s">
        <v>2449</v>
      </c>
      <c r="B3" t="s">
        <v>182</v>
      </c>
      <c r="C3" t="s">
        <v>183</v>
      </c>
      <c r="D3" s="1">
        <v>43752</v>
      </c>
      <c r="E3" t="s">
        <v>184</v>
      </c>
      <c r="F3" t="s">
        <v>185</v>
      </c>
      <c r="G3" t="s">
        <v>186</v>
      </c>
      <c r="H3">
        <v>1</v>
      </c>
      <c r="I3">
        <v>400</v>
      </c>
      <c r="J3">
        <v>10</v>
      </c>
      <c r="K3" t="s">
        <v>187</v>
      </c>
      <c r="L3" t="s">
        <v>207</v>
      </c>
      <c r="M3">
        <v>5</v>
      </c>
      <c r="N3">
        <v>0.9296875</v>
      </c>
      <c r="O3">
        <v>0.9296875</v>
      </c>
      <c r="P3" t="s">
        <v>208</v>
      </c>
      <c r="Q3">
        <v>0</v>
      </c>
      <c r="R3">
        <v>107</v>
      </c>
      <c r="T3">
        <v>4189.4254810000002</v>
      </c>
      <c r="U3">
        <v>4312.9510499999997</v>
      </c>
      <c r="V3">
        <v>998</v>
      </c>
      <c r="W3">
        <v>2248.3734330000002</v>
      </c>
      <c r="X3">
        <v>0.53667822499999995</v>
      </c>
      <c r="Y3">
        <v>25.44768015</v>
      </c>
      <c r="Z3">
        <v>2.2170570000000001E-2</v>
      </c>
      <c r="AA3">
        <v>0.174644928</v>
      </c>
      <c r="AB3">
        <v>1.78901785</v>
      </c>
      <c r="AC3">
        <v>0.55896591500000004</v>
      </c>
      <c r="AD3">
        <v>0.78901785000000002</v>
      </c>
      <c r="AE3" t="s">
        <v>209</v>
      </c>
      <c r="AF3" t="s">
        <v>210</v>
      </c>
      <c r="AG3" t="s">
        <v>211</v>
      </c>
      <c r="AH3" t="s">
        <v>193</v>
      </c>
      <c r="AI3" t="s">
        <v>193</v>
      </c>
      <c r="AJ3" t="s">
        <v>193</v>
      </c>
      <c r="AK3" t="s">
        <v>193</v>
      </c>
      <c r="AL3" t="s">
        <v>193</v>
      </c>
      <c r="AM3" t="s">
        <v>193</v>
      </c>
      <c r="AN3" t="s">
        <v>193</v>
      </c>
      <c r="AO3" t="s">
        <v>193</v>
      </c>
      <c r="AP3" t="s">
        <v>193</v>
      </c>
      <c r="AQ3">
        <v>6.1417290050000002</v>
      </c>
      <c r="AR3" t="s">
        <v>193</v>
      </c>
      <c r="AS3" t="s">
        <v>193</v>
      </c>
      <c r="AT3">
        <v>43.042434159999999</v>
      </c>
      <c r="AU3" t="s">
        <v>193</v>
      </c>
      <c r="AV3">
        <v>124356.253</v>
      </c>
      <c r="AW3">
        <v>29.683366729999999</v>
      </c>
      <c r="AX3">
        <v>11211.757460000001</v>
      </c>
      <c r="AY3">
        <v>-3.66241153</v>
      </c>
      <c r="AZ3">
        <v>15.94617468</v>
      </c>
      <c r="BA3">
        <v>65</v>
      </c>
      <c r="BB3">
        <v>-690</v>
      </c>
      <c r="BC3">
        <v>-77</v>
      </c>
      <c r="BD3">
        <v>39</v>
      </c>
      <c r="BE3">
        <v>65</v>
      </c>
      <c r="BF3">
        <v>76</v>
      </c>
      <c r="BG3">
        <v>87</v>
      </c>
      <c r="BH3">
        <v>105.8855866</v>
      </c>
      <c r="BI3">
        <v>137</v>
      </c>
      <c r="BJ3">
        <v>37</v>
      </c>
      <c r="BK3">
        <v>827</v>
      </c>
      <c r="BL3">
        <v>62.624029620000002</v>
      </c>
      <c r="BM3">
        <v>23.490981049999998</v>
      </c>
      <c r="BN3">
        <v>49.004008020000001</v>
      </c>
      <c r="BO3">
        <v>3.567169034</v>
      </c>
      <c r="BP3">
        <v>0.32173912999999998</v>
      </c>
      <c r="BQ3" t="s">
        <v>194</v>
      </c>
      <c r="BR3" s="2">
        <v>12100000</v>
      </c>
      <c r="BS3">
        <v>109.96753940000001</v>
      </c>
      <c r="BT3">
        <v>128.02290769999999</v>
      </c>
      <c r="BU3">
        <v>1437.6503499999999</v>
      </c>
      <c r="BV3" t="s">
        <v>194</v>
      </c>
      <c r="BW3" t="s">
        <v>194</v>
      </c>
      <c r="BX3" t="s">
        <v>194</v>
      </c>
      <c r="BY3" t="s">
        <v>194</v>
      </c>
      <c r="BZ3" t="s">
        <v>194</v>
      </c>
      <c r="CA3" t="s">
        <v>212</v>
      </c>
      <c r="CB3" t="s">
        <v>213</v>
      </c>
      <c r="CC3" t="s">
        <v>214</v>
      </c>
      <c r="CD3" t="s">
        <v>215</v>
      </c>
      <c r="CE3" t="s">
        <v>216</v>
      </c>
      <c r="CF3" t="s">
        <v>217</v>
      </c>
      <c r="CG3" t="s">
        <v>218</v>
      </c>
      <c r="CH3">
        <v>103.507014</v>
      </c>
      <c r="CI3">
        <v>112.05756599999999</v>
      </c>
      <c r="CJ3">
        <v>-3.6500796860000002</v>
      </c>
      <c r="CK3">
        <v>15.847230120000001</v>
      </c>
      <c r="CL3">
        <v>107</v>
      </c>
      <c r="CM3">
        <v>32</v>
      </c>
      <c r="CN3">
        <v>93</v>
      </c>
      <c r="CO3">
        <v>104</v>
      </c>
      <c r="CP3">
        <v>107</v>
      </c>
      <c r="CQ3">
        <v>108</v>
      </c>
      <c r="CR3">
        <v>109</v>
      </c>
      <c r="CS3">
        <v>10.58572463</v>
      </c>
      <c r="CT3">
        <v>114</v>
      </c>
      <c r="CU3">
        <v>107</v>
      </c>
      <c r="CV3">
        <v>4</v>
      </c>
      <c r="CW3">
        <v>82</v>
      </c>
      <c r="CX3">
        <v>6.264657572</v>
      </c>
      <c r="CY3">
        <v>2.417759738</v>
      </c>
      <c r="CZ3">
        <v>4.8917835670000001</v>
      </c>
      <c r="DA3">
        <v>0.102270602</v>
      </c>
      <c r="DB3">
        <v>1.8867925000000001E-2</v>
      </c>
      <c r="DC3">
        <v>1.192867111</v>
      </c>
      <c r="DD3">
        <v>3.9626187700000002</v>
      </c>
      <c r="DE3">
        <v>1035.07014</v>
      </c>
      <c r="DF3">
        <v>0.114856968</v>
      </c>
      <c r="DG3">
        <v>1.0727868E-2</v>
      </c>
      <c r="DH3">
        <v>80.5</v>
      </c>
      <c r="DI3">
        <v>106</v>
      </c>
      <c r="DJ3">
        <v>-76</v>
      </c>
      <c r="DK3">
        <v>109</v>
      </c>
      <c r="DL3" t="s">
        <v>194</v>
      </c>
      <c r="DM3" t="s">
        <v>194</v>
      </c>
      <c r="DN3" t="s">
        <v>194</v>
      </c>
      <c r="DO3" t="s">
        <v>194</v>
      </c>
      <c r="DP3" t="s">
        <v>194</v>
      </c>
      <c r="DQ3" t="s">
        <v>219</v>
      </c>
      <c r="DR3" t="s">
        <v>220</v>
      </c>
      <c r="DS3" t="s">
        <v>221</v>
      </c>
      <c r="DT3" t="s">
        <v>222</v>
      </c>
      <c r="DU3" t="s">
        <v>216</v>
      </c>
      <c r="DV3" t="s">
        <v>217</v>
      </c>
      <c r="DW3" t="s">
        <v>223</v>
      </c>
      <c r="DX3">
        <v>7.8988942000000006E-2</v>
      </c>
      <c r="DY3">
        <v>104.2813323</v>
      </c>
      <c r="DZ3">
        <v>89.167429290000001</v>
      </c>
      <c r="EA3">
        <v>6.7785284600000004</v>
      </c>
      <c r="EB3">
        <v>2.0405403930000001</v>
      </c>
      <c r="EC3">
        <v>2.9923644020000002</v>
      </c>
      <c r="ED3">
        <v>27.46044723</v>
      </c>
      <c r="EE3">
        <v>6.7785284600000004</v>
      </c>
      <c r="EF3">
        <v>208.56266460000001</v>
      </c>
      <c r="EG3">
        <v>222.89146389999999</v>
      </c>
      <c r="EH3">
        <v>0.41672778100000002</v>
      </c>
      <c r="EI3">
        <v>2.8500561000000001E-2</v>
      </c>
      <c r="EJ3">
        <v>36.414691939999997</v>
      </c>
      <c r="EK3">
        <v>2.9923644020000002</v>
      </c>
      <c r="EL3">
        <v>0.50601165199999998</v>
      </c>
      <c r="EM3">
        <v>0.96819388500000003</v>
      </c>
      <c r="EN3">
        <v>0.45871685699999998</v>
      </c>
      <c r="EO3">
        <v>0.99511714699999998</v>
      </c>
      <c r="EP3" s="2">
        <v>8.3999999999999998E-8</v>
      </c>
      <c r="EQ3">
        <v>0.79580721200000004</v>
      </c>
      <c r="ER3">
        <v>10945.556350000001</v>
      </c>
      <c r="ES3">
        <v>222.89146389999999</v>
      </c>
      <c r="ET3">
        <v>-23001.113880000001</v>
      </c>
      <c r="EU3">
        <v>2343169.585</v>
      </c>
      <c r="EV3">
        <v>0.83145694000000003</v>
      </c>
      <c r="EW3">
        <v>2.221090996</v>
      </c>
      <c r="EX3" s="2">
        <v>1.05E-4</v>
      </c>
      <c r="EY3">
        <v>10615.5977</v>
      </c>
      <c r="EZ3" s="2">
        <v>8.9900000000000003E-5</v>
      </c>
      <c r="FA3">
        <v>8679.7221270000009</v>
      </c>
      <c r="FB3" s="2">
        <v>2.12E-4</v>
      </c>
      <c r="FC3">
        <v>24685.080620000001</v>
      </c>
      <c r="FD3">
        <v>69.650089210000004</v>
      </c>
      <c r="FE3">
        <v>494.87018419999998</v>
      </c>
      <c r="FF3">
        <v>0.76503005999999996</v>
      </c>
      <c r="FG3">
        <v>9.5588440000000004E-3</v>
      </c>
      <c r="FH3">
        <v>0.11622749</v>
      </c>
      <c r="FI3">
        <v>1.0197609E-2</v>
      </c>
      <c r="FJ3">
        <v>4438.4365200000002</v>
      </c>
      <c r="FK3">
        <v>78.238365599999995</v>
      </c>
      <c r="FL3">
        <v>0.73776118899999998</v>
      </c>
      <c r="FM3">
        <v>25.65260546</v>
      </c>
      <c r="FN3" s="2">
        <v>1.1900000000000001E-4</v>
      </c>
      <c r="FO3">
        <v>9873.3052110000008</v>
      </c>
      <c r="FP3" s="2">
        <v>9.3900000000000006E-5</v>
      </c>
      <c r="FQ3">
        <v>6936.2075249999998</v>
      </c>
      <c r="FR3">
        <v>2.2569130000000001E-3</v>
      </c>
      <c r="FS3">
        <v>295057.9901</v>
      </c>
      <c r="FT3">
        <v>18.30521092</v>
      </c>
      <c r="FU3">
        <v>4.5422360000000002E-2</v>
      </c>
      <c r="FV3">
        <v>205.1935484</v>
      </c>
      <c r="FW3">
        <v>0.50916513200000002</v>
      </c>
      <c r="FX3">
        <v>0.40380761500000001</v>
      </c>
      <c r="FY3">
        <v>207.9270607</v>
      </c>
      <c r="FZ3">
        <v>19.519915770000001</v>
      </c>
      <c r="GA3">
        <v>6.3325248280000004</v>
      </c>
    </row>
    <row r="4" spans="1:183" x14ac:dyDescent="0.2">
      <c r="A4" t="s">
        <v>2449</v>
      </c>
      <c r="B4" t="s">
        <v>182</v>
      </c>
      <c r="C4" t="s">
        <v>183</v>
      </c>
      <c r="D4" s="1">
        <v>43752</v>
      </c>
      <c r="E4" t="s">
        <v>184</v>
      </c>
      <c r="F4" t="s">
        <v>185</v>
      </c>
      <c r="G4" t="s">
        <v>186</v>
      </c>
      <c r="H4">
        <v>1</v>
      </c>
      <c r="I4">
        <v>400</v>
      </c>
      <c r="J4">
        <v>10</v>
      </c>
      <c r="K4" t="s">
        <v>187</v>
      </c>
      <c r="L4" t="s">
        <v>224</v>
      </c>
      <c r="M4">
        <v>5</v>
      </c>
      <c r="N4">
        <v>0.9296875</v>
      </c>
      <c r="O4">
        <v>0.9296875</v>
      </c>
      <c r="P4" t="s">
        <v>225</v>
      </c>
      <c r="Q4">
        <v>0</v>
      </c>
      <c r="R4">
        <v>108</v>
      </c>
      <c r="T4">
        <v>5583.139623</v>
      </c>
      <c r="U4">
        <v>5717.4691769999999</v>
      </c>
      <c r="V4">
        <v>1323</v>
      </c>
      <c r="W4">
        <v>2864.0373880000002</v>
      </c>
      <c r="X4">
        <v>0.51297971799999997</v>
      </c>
      <c r="Y4">
        <v>27.45298266</v>
      </c>
      <c r="Z4">
        <v>2.0551122000000002E-2</v>
      </c>
      <c r="AA4">
        <v>0.150062889</v>
      </c>
      <c r="AB4">
        <v>1.881809107</v>
      </c>
      <c r="AC4">
        <v>0.53140352899999999</v>
      </c>
      <c r="AD4">
        <v>0.88180910700000004</v>
      </c>
      <c r="AE4" t="s">
        <v>226</v>
      </c>
      <c r="AF4" t="s">
        <v>227</v>
      </c>
      <c r="AG4" t="s">
        <v>228</v>
      </c>
      <c r="AH4" t="s">
        <v>193</v>
      </c>
      <c r="AI4" t="s">
        <v>193</v>
      </c>
      <c r="AJ4" t="s">
        <v>193</v>
      </c>
      <c r="AK4" t="s">
        <v>193</v>
      </c>
      <c r="AL4" t="s">
        <v>193</v>
      </c>
      <c r="AM4" t="s">
        <v>193</v>
      </c>
      <c r="AN4" t="s">
        <v>193</v>
      </c>
      <c r="AO4" t="s">
        <v>193</v>
      </c>
      <c r="AP4" t="s">
        <v>193</v>
      </c>
      <c r="AQ4">
        <v>2.037382821</v>
      </c>
      <c r="AR4" t="s">
        <v>193</v>
      </c>
      <c r="AS4" t="s">
        <v>193</v>
      </c>
      <c r="AT4">
        <v>46.463276790000002</v>
      </c>
      <c r="AU4" t="s">
        <v>193</v>
      </c>
      <c r="AV4">
        <v>288263.87099999998</v>
      </c>
      <c r="AW4">
        <v>51.63114135</v>
      </c>
      <c r="AX4">
        <v>6037.1549489999998</v>
      </c>
      <c r="AY4">
        <v>-4.1963099100000001</v>
      </c>
      <c r="AZ4">
        <v>20.420130950000001</v>
      </c>
      <c r="BA4">
        <v>71</v>
      </c>
      <c r="BB4">
        <v>-542</v>
      </c>
      <c r="BC4">
        <v>12</v>
      </c>
      <c r="BD4">
        <v>61</v>
      </c>
      <c r="BE4">
        <v>71</v>
      </c>
      <c r="BF4">
        <v>81</v>
      </c>
      <c r="BG4">
        <v>90</v>
      </c>
      <c r="BH4">
        <v>77.699130940000003</v>
      </c>
      <c r="BI4">
        <v>132</v>
      </c>
      <c r="BJ4">
        <v>20</v>
      </c>
      <c r="BK4">
        <v>674</v>
      </c>
      <c r="BL4">
        <v>39.487625469999998</v>
      </c>
      <c r="BM4">
        <v>9.6270751279999995</v>
      </c>
      <c r="BN4">
        <v>31.374905519999999</v>
      </c>
      <c r="BO4">
        <v>1.5048888890000001</v>
      </c>
      <c r="BP4">
        <v>0.14084506999999999</v>
      </c>
      <c r="BQ4" t="s">
        <v>194</v>
      </c>
      <c r="BR4" s="2">
        <v>11500000</v>
      </c>
      <c r="BS4">
        <v>93.289494079999997</v>
      </c>
      <c r="BT4">
        <v>295.19945919999998</v>
      </c>
      <c r="BU4">
        <v>1905.8230590000001</v>
      </c>
      <c r="BV4" t="s">
        <v>194</v>
      </c>
      <c r="BW4" t="s">
        <v>194</v>
      </c>
      <c r="BX4" t="s">
        <v>194</v>
      </c>
      <c r="BY4" t="s">
        <v>194</v>
      </c>
      <c r="BZ4" t="s">
        <v>194</v>
      </c>
      <c r="CA4" t="s">
        <v>229</v>
      </c>
      <c r="CB4" t="s">
        <v>230</v>
      </c>
      <c r="CC4" t="s">
        <v>231</v>
      </c>
      <c r="CD4" t="s">
        <v>232</v>
      </c>
      <c r="CE4" t="s">
        <v>233</v>
      </c>
      <c r="CF4" t="s">
        <v>234</v>
      </c>
      <c r="CG4" t="s">
        <v>235</v>
      </c>
      <c r="CH4">
        <v>105.71730909999999</v>
      </c>
      <c r="CI4">
        <v>60.438604400000003</v>
      </c>
      <c r="CJ4">
        <v>-4.2039458959999996</v>
      </c>
      <c r="CK4">
        <v>20.509873120000002</v>
      </c>
      <c r="CL4">
        <v>108</v>
      </c>
      <c r="CM4">
        <v>46</v>
      </c>
      <c r="CN4">
        <v>102</v>
      </c>
      <c r="CO4">
        <v>107</v>
      </c>
      <c r="CP4">
        <v>108</v>
      </c>
      <c r="CQ4">
        <v>109</v>
      </c>
      <c r="CR4">
        <v>110</v>
      </c>
      <c r="CS4">
        <v>7.7742269329999996</v>
      </c>
      <c r="CT4">
        <v>114</v>
      </c>
      <c r="CU4">
        <v>108</v>
      </c>
      <c r="CV4">
        <v>2</v>
      </c>
      <c r="CW4">
        <v>68</v>
      </c>
      <c r="CX4">
        <v>3.9503521909999999</v>
      </c>
      <c r="CY4">
        <v>1.1025229459999999</v>
      </c>
      <c r="CZ4">
        <v>3.150415722</v>
      </c>
      <c r="DA4">
        <v>7.3537880999999999E-2</v>
      </c>
      <c r="DB4">
        <v>9.2592590000000006E-3</v>
      </c>
      <c r="DC4">
        <v>1.004301457</v>
      </c>
      <c r="DD4">
        <v>3.3362172270000001</v>
      </c>
      <c r="DE4">
        <v>1057.1730910000001</v>
      </c>
      <c r="DF4">
        <v>0.164280544</v>
      </c>
      <c r="DG4">
        <v>1.1143283E-2</v>
      </c>
      <c r="DH4">
        <v>141.5</v>
      </c>
      <c r="DI4">
        <v>106</v>
      </c>
      <c r="DJ4">
        <v>-128</v>
      </c>
      <c r="DK4">
        <v>109</v>
      </c>
      <c r="DL4" t="s">
        <v>194</v>
      </c>
      <c r="DM4" t="s">
        <v>194</v>
      </c>
      <c r="DN4" t="s">
        <v>194</v>
      </c>
      <c r="DO4" t="s">
        <v>194</v>
      </c>
      <c r="DP4" t="s">
        <v>194</v>
      </c>
      <c r="DQ4" t="s">
        <v>236</v>
      </c>
      <c r="DR4" t="s">
        <v>237</v>
      </c>
      <c r="DS4" t="s">
        <v>238</v>
      </c>
      <c r="DT4" t="s">
        <v>239</v>
      </c>
      <c r="DU4" t="s">
        <v>233</v>
      </c>
      <c r="DV4" t="s">
        <v>234</v>
      </c>
      <c r="DW4" t="s">
        <v>240</v>
      </c>
      <c r="DX4">
        <v>9.6278795E-2</v>
      </c>
      <c r="DY4">
        <v>106.33097069999999</v>
      </c>
      <c r="DZ4">
        <v>42.09542003</v>
      </c>
      <c r="EA4">
        <v>5.7367301380000004</v>
      </c>
      <c r="EB4">
        <v>1.726927849</v>
      </c>
      <c r="EC4">
        <v>2.3146288639999999</v>
      </c>
      <c r="ED4">
        <v>24.73463735</v>
      </c>
      <c r="EE4">
        <v>5.7367301380000004</v>
      </c>
      <c r="EF4">
        <v>212.6619413</v>
      </c>
      <c r="EG4">
        <v>34.362622870000003</v>
      </c>
      <c r="EH4">
        <v>5.7654505000000002E-2</v>
      </c>
      <c r="EI4">
        <v>4.5252116000000002E-2</v>
      </c>
      <c r="EJ4">
        <v>30.09214412</v>
      </c>
      <c r="EK4">
        <v>2.3146288639999999</v>
      </c>
      <c r="EL4">
        <v>0.56931626800000001</v>
      </c>
      <c r="EM4">
        <v>0.97117491600000005</v>
      </c>
      <c r="EN4">
        <v>0.53449801900000005</v>
      </c>
      <c r="EO4">
        <v>0.99453272199999998</v>
      </c>
      <c r="EP4">
        <v>0</v>
      </c>
      <c r="EQ4">
        <v>0.64257223100000005</v>
      </c>
      <c r="ER4">
        <v>11333.32467</v>
      </c>
      <c r="ES4">
        <v>34.362622870000003</v>
      </c>
      <c r="ET4">
        <v>-7314.7500250000003</v>
      </c>
      <c r="EU4">
        <v>522566.95039999997</v>
      </c>
      <c r="EV4">
        <v>0.78746592900000001</v>
      </c>
      <c r="EW4">
        <v>2.7059882220000002</v>
      </c>
      <c r="EX4" s="2">
        <v>9.4699999999999998E-5</v>
      </c>
      <c r="EY4">
        <v>11074.52225</v>
      </c>
      <c r="EZ4" s="2">
        <v>7.6500000000000003E-5</v>
      </c>
      <c r="FA4">
        <v>8602.0742009999994</v>
      </c>
      <c r="FB4" s="2">
        <v>2.42E-4</v>
      </c>
      <c r="FC4">
        <v>30914.90164</v>
      </c>
      <c r="FD4">
        <v>129.03633139999999</v>
      </c>
      <c r="FE4">
        <v>547.14379329999997</v>
      </c>
      <c r="FF4">
        <v>0.71088435400000005</v>
      </c>
      <c r="FG4">
        <v>6.0495890000000002E-3</v>
      </c>
      <c r="FH4">
        <v>7.1939697999999996E-2</v>
      </c>
      <c r="FI4">
        <v>1.7000883000000001E-2</v>
      </c>
      <c r="FJ4">
        <v>2783.9545939999998</v>
      </c>
      <c r="FK4">
        <v>36.462640139999998</v>
      </c>
      <c r="FL4">
        <v>0.72451114900000002</v>
      </c>
      <c r="FM4">
        <v>92.2</v>
      </c>
      <c r="FN4" s="2">
        <v>1.07E-4</v>
      </c>
      <c r="FO4">
        <v>10308.47848</v>
      </c>
      <c r="FP4" s="2">
        <v>8.2799999999999993E-5</v>
      </c>
      <c r="FQ4">
        <v>7116.12896</v>
      </c>
      <c r="FR4">
        <v>7.9675700000000002E-3</v>
      </c>
      <c r="FS4">
        <v>1068674.0149999999</v>
      </c>
      <c r="FT4">
        <v>23.911392410000001</v>
      </c>
      <c r="FU4">
        <v>6.0535170999999999E-2</v>
      </c>
      <c r="FV4">
        <v>193.77468350000001</v>
      </c>
      <c r="FW4">
        <v>0.49056881899999999</v>
      </c>
      <c r="FX4">
        <v>0.29856387000000001</v>
      </c>
      <c r="FY4">
        <v>160.59396889999999</v>
      </c>
      <c r="FZ4">
        <v>80.981740110000004</v>
      </c>
      <c r="GA4">
        <v>6.1872266610000004</v>
      </c>
    </row>
    <row r="5" spans="1:183" x14ac:dyDescent="0.2">
      <c r="A5" t="s">
        <v>2449</v>
      </c>
      <c r="B5" t="s">
        <v>182</v>
      </c>
      <c r="C5" t="s">
        <v>183</v>
      </c>
      <c r="D5" s="1">
        <v>43752</v>
      </c>
      <c r="E5" t="s">
        <v>184</v>
      </c>
      <c r="F5" t="s">
        <v>185</v>
      </c>
      <c r="G5" t="s">
        <v>186</v>
      </c>
      <c r="H5">
        <v>1</v>
      </c>
      <c r="I5">
        <v>400</v>
      </c>
      <c r="J5">
        <v>10</v>
      </c>
      <c r="K5" t="s">
        <v>187</v>
      </c>
      <c r="L5" t="s">
        <v>241</v>
      </c>
      <c r="M5">
        <v>5</v>
      </c>
      <c r="N5">
        <v>0.9296875</v>
      </c>
      <c r="O5">
        <v>0.9296875</v>
      </c>
      <c r="P5" t="s">
        <v>242</v>
      </c>
      <c r="Q5">
        <v>0</v>
      </c>
      <c r="R5">
        <v>109</v>
      </c>
      <c r="T5">
        <v>5714.9482470000003</v>
      </c>
      <c r="U5">
        <v>5860.0817870000001</v>
      </c>
      <c r="V5">
        <v>1356</v>
      </c>
      <c r="W5">
        <v>2952.1109369999999</v>
      </c>
      <c r="X5">
        <v>0.51655952199999999</v>
      </c>
      <c r="Y5">
        <v>28.06639989</v>
      </c>
      <c r="Z5">
        <v>2.0101958E-2</v>
      </c>
      <c r="AA5">
        <v>0.14357504300000001</v>
      </c>
      <c r="AB5">
        <v>1.909737523</v>
      </c>
      <c r="AC5">
        <v>0.52363216800000001</v>
      </c>
      <c r="AD5">
        <v>0.90973752299999999</v>
      </c>
      <c r="AE5" t="s">
        <v>243</v>
      </c>
      <c r="AF5" t="s">
        <v>244</v>
      </c>
      <c r="AG5" t="s">
        <v>245</v>
      </c>
      <c r="AH5" t="s">
        <v>193</v>
      </c>
      <c r="AI5" t="s">
        <v>193</v>
      </c>
      <c r="AJ5" t="s">
        <v>193</v>
      </c>
      <c r="AK5" t="s">
        <v>193</v>
      </c>
      <c r="AL5" t="s">
        <v>193</v>
      </c>
      <c r="AM5" t="s">
        <v>193</v>
      </c>
      <c r="AN5" t="s">
        <v>193</v>
      </c>
      <c r="AO5" t="s">
        <v>193</v>
      </c>
      <c r="AP5" t="s">
        <v>193</v>
      </c>
      <c r="AQ5">
        <v>2.792954323</v>
      </c>
      <c r="AR5" t="s">
        <v>193</v>
      </c>
      <c r="AS5" t="s">
        <v>193</v>
      </c>
      <c r="AT5">
        <v>46.567971710000002</v>
      </c>
      <c r="AU5" t="s">
        <v>193</v>
      </c>
      <c r="AV5">
        <v>296776.9253</v>
      </c>
      <c r="AW5">
        <v>51.929940999999999</v>
      </c>
      <c r="AX5">
        <v>8522.1993689999999</v>
      </c>
      <c r="AY5">
        <v>-4.8113953880000002</v>
      </c>
      <c r="AZ5">
        <v>27.088743279999999</v>
      </c>
      <c r="BA5">
        <v>73</v>
      </c>
      <c r="BB5">
        <v>-812</v>
      </c>
      <c r="BC5">
        <v>33</v>
      </c>
      <c r="BD5">
        <v>62</v>
      </c>
      <c r="BE5">
        <v>73</v>
      </c>
      <c r="BF5">
        <v>84</v>
      </c>
      <c r="BG5">
        <v>94</v>
      </c>
      <c r="BH5">
        <v>92.315759049999997</v>
      </c>
      <c r="BI5">
        <v>130</v>
      </c>
      <c r="BJ5">
        <v>22</v>
      </c>
      <c r="BK5">
        <v>942</v>
      </c>
      <c r="BL5">
        <v>43.107548880000003</v>
      </c>
      <c r="BM5">
        <v>10.15014452</v>
      </c>
      <c r="BN5">
        <v>34.224926250000003</v>
      </c>
      <c r="BO5">
        <v>1.777698131</v>
      </c>
      <c r="BP5">
        <v>0.15068493199999999</v>
      </c>
      <c r="BQ5" t="s">
        <v>194</v>
      </c>
      <c r="BR5" s="2">
        <v>15200000</v>
      </c>
      <c r="BS5">
        <v>105.9193945</v>
      </c>
      <c r="BT5">
        <v>304.31370149999998</v>
      </c>
      <c r="BU5">
        <v>1953.360596</v>
      </c>
      <c r="BV5" t="s">
        <v>194</v>
      </c>
      <c r="BW5" t="s">
        <v>194</v>
      </c>
      <c r="BX5" t="s">
        <v>194</v>
      </c>
      <c r="BY5" t="s">
        <v>194</v>
      </c>
      <c r="BZ5" t="s">
        <v>194</v>
      </c>
      <c r="CA5" t="s">
        <v>246</v>
      </c>
      <c r="CB5" t="s">
        <v>247</v>
      </c>
      <c r="CC5" t="s">
        <v>248</v>
      </c>
      <c r="CD5" t="s">
        <v>249</v>
      </c>
      <c r="CE5" t="s">
        <v>250</v>
      </c>
      <c r="CF5" t="s">
        <v>251</v>
      </c>
      <c r="CG5" t="s">
        <v>252</v>
      </c>
      <c r="CH5">
        <v>105.7337758</v>
      </c>
      <c r="CI5">
        <v>85.230747100000002</v>
      </c>
      <c r="CJ5">
        <v>-4.8054601349999997</v>
      </c>
      <c r="CK5">
        <v>27.090492090000001</v>
      </c>
      <c r="CL5">
        <v>108</v>
      </c>
      <c r="CM5">
        <v>19</v>
      </c>
      <c r="CN5">
        <v>104</v>
      </c>
      <c r="CO5">
        <v>107</v>
      </c>
      <c r="CP5">
        <v>108</v>
      </c>
      <c r="CQ5">
        <v>109</v>
      </c>
      <c r="CR5">
        <v>110</v>
      </c>
      <c r="CS5">
        <v>9.2320499940000005</v>
      </c>
      <c r="CT5">
        <v>114</v>
      </c>
      <c r="CU5">
        <v>108</v>
      </c>
      <c r="CV5">
        <v>2</v>
      </c>
      <c r="CW5">
        <v>95</v>
      </c>
      <c r="CX5">
        <v>4.3122177410000004</v>
      </c>
      <c r="CY5">
        <v>1.080189123</v>
      </c>
      <c r="CZ5">
        <v>3.4137168139999998</v>
      </c>
      <c r="DA5">
        <v>8.7314105000000003E-2</v>
      </c>
      <c r="DB5">
        <v>9.2592590000000006E-3</v>
      </c>
      <c r="DC5">
        <v>1.0239402479999999</v>
      </c>
      <c r="DD5">
        <v>3.401455876</v>
      </c>
      <c r="DE5">
        <v>1057.3377579999999</v>
      </c>
      <c r="DF5">
        <v>0.14951792999999999</v>
      </c>
      <c r="DG5">
        <v>1.0500664999999999E-2</v>
      </c>
      <c r="DH5">
        <v>114</v>
      </c>
      <c r="DI5">
        <v>106</v>
      </c>
      <c r="DJ5">
        <v>-95</v>
      </c>
      <c r="DK5">
        <v>110</v>
      </c>
      <c r="DL5" t="s">
        <v>194</v>
      </c>
      <c r="DM5" t="s">
        <v>194</v>
      </c>
      <c r="DN5" t="s">
        <v>194</v>
      </c>
      <c r="DO5" t="s">
        <v>194</v>
      </c>
      <c r="DP5" t="s">
        <v>194</v>
      </c>
      <c r="DQ5" t="s">
        <v>253</v>
      </c>
      <c r="DR5" t="s">
        <v>254</v>
      </c>
      <c r="DS5" t="s">
        <v>255</v>
      </c>
      <c r="DT5" t="s">
        <v>256</v>
      </c>
      <c r="DU5" t="s">
        <v>250</v>
      </c>
      <c r="DV5" t="s">
        <v>251</v>
      </c>
      <c r="DW5" t="s">
        <v>257</v>
      </c>
      <c r="DX5">
        <v>9.3497498999999998E-2</v>
      </c>
      <c r="DY5">
        <v>106.40929199999999</v>
      </c>
      <c r="DZ5">
        <v>58.134423079999998</v>
      </c>
      <c r="EA5">
        <v>5.7702867539999998</v>
      </c>
      <c r="EB5">
        <v>1.7370293960000001</v>
      </c>
      <c r="EC5">
        <v>2.316083109</v>
      </c>
      <c r="ED5">
        <v>30.245416590000001</v>
      </c>
      <c r="EE5">
        <v>5.7702867539999998</v>
      </c>
      <c r="EF5">
        <v>212.81858410000001</v>
      </c>
      <c r="EG5">
        <v>175.1071872</v>
      </c>
      <c r="EH5">
        <v>0.65018152799999995</v>
      </c>
      <c r="EI5">
        <v>4.0366381999999999E-2</v>
      </c>
      <c r="EJ5">
        <v>35.609657560000002</v>
      </c>
      <c r="EK5">
        <v>2.316083109</v>
      </c>
      <c r="EL5">
        <v>0.58091686600000003</v>
      </c>
      <c r="EM5">
        <v>0.97887293900000005</v>
      </c>
      <c r="EN5">
        <v>0.54982403499999999</v>
      </c>
      <c r="EO5">
        <v>0.99651667300000002</v>
      </c>
      <c r="EP5" s="2">
        <v>1.08E-7</v>
      </c>
      <c r="EQ5">
        <v>0.69373001700000003</v>
      </c>
      <c r="ER5">
        <v>11363.267030000001</v>
      </c>
      <c r="ES5">
        <v>175.1071872</v>
      </c>
      <c r="ET5">
        <v>-14923.62458</v>
      </c>
      <c r="EU5">
        <v>1534716.48</v>
      </c>
      <c r="EV5">
        <v>0.77723621300000001</v>
      </c>
      <c r="EW5">
        <v>2.7435961029999998</v>
      </c>
      <c r="EX5" s="2">
        <v>1.01E-4</v>
      </c>
      <c r="EY5">
        <v>11102.117560000001</v>
      </c>
      <c r="EZ5" s="2">
        <v>8.1600000000000005E-5</v>
      </c>
      <c r="FA5">
        <v>8506.1875280000004</v>
      </c>
      <c r="FB5" s="2">
        <v>2.5099999999999998E-4</v>
      </c>
      <c r="FC5">
        <v>31407.470150000001</v>
      </c>
      <c r="FD5">
        <v>123.2930107</v>
      </c>
      <c r="FE5">
        <v>540.23502759999997</v>
      </c>
      <c r="FF5">
        <v>0.70519911499999999</v>
      </c>
      <c r="FG5">
        <v>6.0974449999999999E-3</v>
      </c>
      <c r="FH5">
        <v>8.6152134000000005E-2</v>
      </c>
      <c r="FI5">
        <v>1.5249263000000001E-2</v>
      </c>
      <c r="FJ5">
        <v>3958.7190179999998</v>
      </c>
      <c r="FK5">
        <v>65.909850259999999</v>
      </c>
      <c r="FL5">
        <v>0.68087728199999997</v>
      </c>
      <c r="FM5">
        <v>93.538057739999999</v>
      </c>
      <c r="FN5" s="2">
        <v>1.2300000000000001E-4</v>
      </c>
      <c r="FO5">
        <v>10278.09186</v>
      </c>
      <c r="FP5" s="2">
        <v>9.4900000000000003E-5</v>
      </c>
      <c r="FQ5">
        <v>6582.3846819999999</v>
      </c>
      <c r="FR5">
        <v>8.0870060000000007E-3</v>
      </c>
      <c r="FS5">
        <v>1085936.155</v>
      </c>
      <c r="FT5">
        <v>24.51181102</v>
      </c>
      <c r="FU5">
        <v>6.4335461999999996E-2</v>
      </c>
      <c r="FV5">
        <v>164.17585299999999</v>
      </c>
      <c r="FW5">
        <v>0.43090775100000001</v>
      </c>
      <c r="FX5">
        <v>0.28097345099999999</v>
      </c>
      <c r="FY5">
        <v>246.0452325</v>
      </c>
      <c r="FZ5">
        <v>80.871184409999998</v>
      </c>
      <c r="GA5">
        <v>6.359228796</v>
      </c>
    </row>
    <row r="6" spans="1:183" x14ac:dyDescent="0.2">
      <c r="A6" t="s">
        <v>2449</v>
      </c>
      <c r="B6" t="s">
        <v>182</v>
      </c>
      <c r="C6" t="s">
        <v>183</v>
      </c>
      <c r="D6" s="1">
        <v>43752</v>
      </c>
      <c r="E6" t="s">
        <v>184</v>
      </c>
      <c r="F6" t="s">
        <v>185</v>
      </c>
      <c r="G6" t="s">
        <v>186</v>
      </c>
      <c r="H6">
        <v>1</v>
      </c>
      <c r="I6">
        <v>400</v>
      </c>
      <c r="J6">
        <v>10</v>
      </c>
      <c r="K6" t="s">
        <v>187</v>
      </c>
      <c r="L6" t="s">
        <v>258</v>
      </c>
      <c r="M6">
        <v>5</v>
      </c>
      <c r="N6">
        <v>0.9296875</v>
      </c>
      <c r="O6">
        <v>0.9296875</v>
      </c>
      <c r="P6" t="s">
        <v>259</v>
      </c>
      <c r="Q6">
        <v>0</v>
      </c>
      <c r="R6">
        <v>110</v>
      </c>
      <c r="T6">
        <v>5192.0353439999999</v>
      </c>
      <c r="U6">
        <v>5319.8825070000003</v>
      </c>
      <c r="V6">
        <v>1231</v>
      </c>
      <c r="W6">
        <v>2662.7964780000002</v>
      </c>
      <c r="X6">
        <v>0.51286177799999999</v>
      </c>
      <c r="Y6">
        <v>26.464842919999999</v>
      </c>
      <c r="Z6">
        <v>2.1318456E-2</v>
      </c>
      <c r="AA6">
        <v>0.16147813799999999</v>
      </c>
      <c r="AB6">
        <v>1.836378034</v>
      </c>
      <c r="AC6">
        <v>0.54455018600000005</v>
      </c>
      <c r="AD6">
        <v>0.83637803399999999</v>
      </c>
      <c r="AE6" t="s">
        <v>260</v>
      </c>
      <c r="AF6" t="s">
        <v>261</v>
      </c>
      <c r="AG6" t="s">
        <v>262</v>
      </c>
      <c r="AH6" t="s">
        <v>193</v>
      </c>
      <c r="AI6" t="s">
        <v>193</v>
      </c>
      <c r="AJ6" t="s">
        <v>193</v>
      </c>
      <c r="AK6" t="s">
        <v>193</v>
      </c>
      <c r="AL6" t="s">
        <v>193</v>
      </c>
      <c r="AM6" t="s">
        <v>193</v>
      </c>
      <c r="AN6" t="s">
        <v>193</v>
      </c>
      <c r="AO6" t="s">
        <v>193</v>
      </c>
      <c r="AP6" t="s">
        <v>193</v>
      </c>
      <c r="AQ6">
        <v>4.8130894059999996</v>
      </c>
      <c r="AR6" t="s">
        <v>193</v>
      </c>
      <c r="AS6" t="s">
        <v>193</v>
      </c>
      <c r="AT6">
        <v>40.393088429999999</v>
      </c>
      <c r="AU6" t="s">
        <v>193</v>
      </c>
      <c r="AV6">
        <v>259517.41250000001</v>
      </c>
      <c r="AW6">
        <v>49.983753049999997</v>
      </c>
      <c r="AX6">
        <v>11482.787710000001</v>
      </c>
      <c r="AY6">
        <v>-4.3978406290000001</v>
      </c>
      <c r="AZ6">
        <v>21.472139250000001</v>
      </c>
      <c r="BA6">
        <v>77</v>
      </c>
      <c r="BB6">
        <v>-747</v>
      </c>
      <c r="BC6">
        <v>-6</v>
      </c>
      <c r="BD6">
        <v>64</v>
      </c>
      <c r="BE6">
        <v>77</v>
      </c>
      <c r="BF6">
        <v>87</v>
      </c>
      <c r="BG6">
        <v>99</v>
      </c>
      <c r="BH6">
        <v>107.1577702</v>
      </c>
      <c r="BI6">
        <v>131</v>
      </c>
      <c r="BJ6">
        <v>23</v>
      </c>
      <c r="BK6">
        <v>878</v>
      </c>
      <c r="BL6">
        <v>53.359834390000003</v>
      </c>
      <c r="BM6">
        <v>11.51052797</v>
      </c>
      <c r="BN6">
        <v>40.582453289999997</v>
      </c>
      <c r="BO6">
        <v>2.1438520250000002</v>
      </c>
      <c r="BP6">
        <v>0.15231788099999999</v>
      </c>
      <c r="BQ6" t="s">
        <v>194</v>
      </c>
      <c r="BR6" s="2">
        <v>17200000</v>
      </c>
      <c r="BS6">
        <v>118.2419692</v>
      </c>
      <c r="BT6">
        <v>265.90769349999999</v>
      </c>
      <c r="BU6">
        <v>1773.294169</v>
      </c>
      <c r="BV6" t="s">
        <v>194</v>
      </c>
      <c r="BW6" t="s">
        <v>194</v>
      </c>
      <c r="BX6" t="s">
        <v>194</v>
      </c>
      <c r="BY6" t="s">
        <v>194</v>
      </c>
      <c r="BZ6" t="s">
        <v>194</v>
      </c>
      <c r="CA6" t="s">
        <v>263</v>
      </c>
      <c r="CB6" t="s">
        <v>264</v>
      </c>
      <c r="CC6" t="s">
        <v>265</v>
      </c>
      <c r="CD6" t="s">
        <v>266</v>
      </c>
      <c r="CE6" t="s">
        <v>267</v>
      </c>
      <c r="CF6" t="s">
        <v>268</v>
      </c>
      <c r="CG6" t="s">
        <v>269</v>
      </c>
      <c r="CH6">
        <v>105.5507717</v>
      </c>
      <c r="CI6">
        <v>114.93791779999999</v>
      </c>
      <c r="CJ6">
        <v>-4.3960283750000002</v>
      </c>
      <c r="CK6">
        <v>21.468634730000002</v>
      </c>
      <c r="CL6">
        <v>108</v>
      </c>
      <c r="CM6">
        <v>26</v>
      </c>
      <c r="CN6">
        <v>100</v>
      </c>
      <c r="CO6">
        <v>107</v>
      </c>
      <c r="CP6">
        <v>108</v>
      </c>
      <c r="CQ6">
        <v>109</v>
      </c>
      <c r="CR6">
        <v>110</v>
      </c>
      <c r="CS6">
        <v>10.7209103</v>
      </c>
      <c r="CT6">
        <v>114</v>
      </c>
      <c r="CU6">
        <v>108</v>
      </c>
      <c r="CV6">
        <v>2</v>
      </c>
      <c r="CW6">
        <v>88</v>
      </c>
      <c r="CX6">
        <v>5.3362202139999999</v>
      </c>
      <c r="CY6">
        <v>1.141991346</v>
      </c>
      <c r="CZ6">
        <v>4.0609260760000003</v>
      </c>
      <c r="DA6">
        <v>0.101571122</v>
      </c>
      <c r="DB6">
        <v>9.2592590000000006E-3</v>
      </c>
      <c r="DC6">
        <v>1.068486504</v>
      </c>
      <c r="DD6">
        <v>3.5494353360000002</v>
      </c>
      <c r="DE6">
        <v>1055.507717</v>
      </c>
      <c r="DF6">
        <v>0.14406006199999999</v>
      </c>
      <c r="DG6">
        <v>1.0817894999999999E-2</v>
      </c>
      <c r="DH6">
        <v>116</v>
      </c>
      <c r="DI6">
        <v>107</v>
      </c>
      <c r="DJ6">
        <v>-103</v>
      </c>
      <c r="DK6">
        <v>110</v>
      </c>
      <c r="DL6" t="s">
        <v>194</v>
      </c>
      <c r="DM6" t="s">
        <v>194</v>
      </c>
      <c r="DN6" t="s">
        <v>194</v>
      </c>
      <c r="DO6" t="s">
        <v>194</v>
      </c>
      <c r="DP6" t="s">
        <v>194</v>
      </c>
      <c r="DQ6" t="s">
        <v>270</v>
      </c>
      <c r="DR6" t="s">
        <v>271</v>
      </c>
      <c r="DS6" t="s">
        <v>272</v>
      </c>
      <c r="DT6" t="s">
        <v>273</v>
      </c>
      <c r="DU6" t="s">
        <v>267</v>
      </c>
      <c r="DV6" t="s">
        <v>268</v>
      </c>
      <c r="DW6" t="s">
        <v>274</v>
      </c>
      <c r="DX6">
        <v>9.6507937000000002E-2</v>
      </c>
      <c r="DY6">
        <v>106.2807407</v>
      </c>
      <c r="DZ6">
        <v>85.889756070000004</v>
      </c>
      <c r="EA6">
        <v>6.0349215200000002</v>
      </c>
      <c r="EB6">
        <v>1.8166923989999999</v>
      </c>
      <c r="EC6">
        <v>2.604232804</v>
      </c>
      <c r="ED6">
        <v>34.980299539999997</v>
      </c>
      <c r="EE6">
        <v>6.0349215200000002</v>
      </c>
      <c r="EF6">
        <v>212.56148150000001</v>
      </c>
      <c r="EG6">
        <v>253.6244585</v>
      </c>
      <c r="EH6">
        <v>0.51982195499999995</v>
      </c>
      <c r="EI6">
        <v>3.9524112E-2</v>
      </c>
      <c r="EJ6">
        <v>41.76232804</v>
      </c>
      <c r="EK6">
        <v>2.604232804</v>
      </c>
      <c r="EL6">
        <v>0.56763987800000004</v>
      </c>
      <c r="EM6">
        <v>0.97473052400000004</v>
      </c>
      <c r="EN6">
        <v>0.532382362</v>
      </c>
      <c r="EO6">
        <v>0.995362682</v>
      </c>
      <c r="EP6" s="2">
        <v>4.4999999999999998E-7</v>
      </c>
      <c r="EQ6">
        <v>0.75688411499999997</v>
      </c>
      <c r="ER6">
        <v>11360.604439999999</v>
      </c>
      <c r="ES6">
        <v>253.6244585</v>
      </c>
      <c r="ET6">
        <v>-25547.293399999999</v>
      </c>
      <c r="EU6">
        <v>2769279.2379999999</v>
      </c>
      <c r="EV6">
        <v>0.77589269100000002</v>
      </c>
      <c r="EW6">
        <v>2.7310456489999999</v>
      </c>
      <c r="EX6" s="2">
        <v>1.0399999999999999E-4</v>
      </c>
      <c r="EY6">
        <v>11043.34549</v>
      </c>
      <c r="EZ6" s="2">
        <v>8.5099999999999995E-5</v>
      </c>
      <c r="FA6">
        <v>8409.3767640000005</v>
      </c>
      <c r="FB6" s="2">
        <v>2.52E-4</v>
      </c>
      <c r="FC6">
        <v>31402.165140000001</v>
      </c>
      <c r="FD6">
        <v>101.1174469</v>
      </c>
      <c r="FE6">
        <v>486.33568389999999</v>
      </c>
      <c r="FF6">
        <v>0.70389926899999999</v>
      </c>
      <c r="FG6">
        <v>7.0610489999999998E-3</v>
      </c>
      <c r="FH6">
        <v>0.103012479</v>
      </c>
      <c r="FI6">
        <v>1.2386464E-2</v>
      </c>
      <c r="FJ6">
        <v>4744.1778180000001</v>
      </c>
      <c r="FK6">
        <v>87.727789970000003</v>
      </c>
      <c r="FL6">
        <v>0.68838306100000002</v>
      </c>
      <c r="FM6">
        <v>54.338582680000002</v>
      </c>
      <c r="FN6" s="2">
        <v>1.2799999999999999E-4</v>
      </c>
      <c r="FO6">
        <v>10168.031499999999</v>
      </c>
      <c r="FP6" s="2">
        <v>1E-4</v>
      </c>
      <c r="FQ6">
        <v>6571.182503</v>
      </c>
      <c r="FR6">
        <v>4.6625829999999997E-3</v>
      </c>
      <c r="FS6">
        <v>637964.18110000005</v>
      </c>
      <c r="FT6">
        <v>22.154855640000001</v>
      </c>
      <c r="FU6">
        <v>5.8149226999999998E-2</v>
      </c>
      <c r="FV6">
        <v>167.4146982</v>
      </c>
      <c r="FW6">
        <v>0.43940865699999998</v>
      </c>
      <c r="FX6">
        <v>0.30950446799999998</v>
      </c>
      <c r="FY6">
        <v>297.79152800000003</v>
      </c>
      <c r="FZ6">
        <v>43.89940824</v>
      </c>
      <c r="GA6">
        <v>6.4052328799999998</v>
      </c>
    </row>
    <row r="7" spans="1:183" x14ac:dyDescent="0.2">
      <c r="A7" t="s">
        <v>2449</v>
      </c>
      <c r="B7" t="s">
        <v>182</v>
      </c>
      <c r="C7" t="s">
        <v>183</v>
      </c>
      <c r="D7" s="1">
        <v>43752</v>
      </c>
      <c r="E7" t="s">
        <v>184</v>
      </c>
      <c r="F7" t="s">
        <v>185</v>
      </c>
      <c r="G7" t="s">
        <v>186</v>
      </c>
      <c r="H7">
        <v>1</v>
      </c>
      <c r="I7">
        <v>400</v>
      </c>
      <c r="J7">
        <v>10</v>
      </c>
      <c r="K7" t="s">
        <v>187</v>
      </c>
      <c r="L7" t="s">
        <v>275</v>
      </c>
      <c r="M7">
        <v>5</v>
      </c>
      <c r="N7">
        <v>0.9296875</v>
      </c>
      <c r="O7">
        <v>0.9296875</v>
      </c>
      <c r="P7" t="s">
        <v>276</v>
      </c>
      <c r="Q7">
        <v>0</v>
      </c>
      <c r="R7">
        <v>111</v>
      </c>
      <c r="T7">
        <v>5684.6970879999999</v>
      </c>
      <c r="U7">
        <v>5816.8658450000003</v>
      </c>
      <c r="V7">
        <v>1346</v>
      </c>
      <c r="W7">
        <v>2884.6543750000001</v>
      </c>
      <c r="X7">
        <v>0.50744205499999995</v>
      </c>
      <c r="Y7">
        <v>27.254194460000001</v>
      </c>
      <c r="Z7">
        <v>2.0701018000000002E-2</v>
      </c>
      <c r="AA7">
        <v>0.15225994700000001</v>
      </c>
      <c r="AB7">
        <v>1.872713936</v>
      </c>
      <c r="AC7">
        <v>0.53398438500000001</v>
      </c>
      <c r="AD7">
        <v>0.87271393600000002</v>
      </c>
      <c r="AE7" t="s">
        <v>277</v>
      </c>
      <c r="AF7" t="s">
        <v>278</v>
      </c>
      <c r="AG7" t="s">
        <v>279</v>
      </c>
      <c r="AH7" t="s">
        <v>193</v>
      </c>
      <c r="AI7" t="s">
        <v>193</v>
      </c>
      <c r="AJ7" t="s">
        <v>193</v>
      </c>
      <c r="AK7" t="s">
        <v>193</v>
      </c>
      <c r="AL7" t="s">
        <v>193</v>
      </c>
      <c r="AM7" t="s">
        <v>193</v>
      </c>
      <c r="AN7" t="s">
        <v>193</v>
      </c>
      <c r="AO7" t="s">
        <v>193</v>
      </c>
      <c r="AP7" t="s">
        <v>193</v>
      </c>
      <c r="AQ7">
        <v>7.7725997549999999</v>
      </c>
      <c r="AR7" t="s">
        <v>193</v>
      </c>
      <c r="AS7" t="s">
        <v>193</v>
      </c>
      <c r="AT7">
        <v>45.226034990000002</v>
      </c>
      <c r="AU7" t="s">
        <v>193</v>
      </c>
      <c r="AV7">
        <v>226171.5442</v>
      </c>
      <c r="AW7">
        <v>39.786032689999999</v>
      </c>
      <c r="AX7">
        <v>16028.6823</v>
      </c>
      <c r="AY7">
        <v>-3.4878487169999999</v>
      </c>
      <c r="AZ7">
        <v>12.472784000000001</v>
      </c>
      <c r="BA7">
        <v>78</v>
      </c>
      <c r="BB7">
        <v>-715</v>
      </c>
      <c r="BC7">
        <v>-41</v>
      </c>
      <c r="BD7">
        <v>62</v>
      </c>
      <c r="BE7">
        <v>78</v>
      </c>
      <c r="BF7">
        <v>91</v>
      </c>
      <c r="BG7">
        <v>102</v>
      </c>
      <c r="BH7">
        <v>126.60443239999999</v>
      </c>
      <c r="BI7">
        <v>131</v>
      </c>
      <c r="BJ7">
        <v>29</v>
      </c>
      <c r="BK7">
        <v>846</v>
      </c>
      <c r="BL7">
        <v>70.246023109999996</v>
      </c>
      <c r="BM7">
        <v>17.135076170000001</v>
      </c>
      <c r="BN7">
        <v>53.017830609999997</v>
      </c>
      <c r="BO7">
        <v>3.1821326189999999</v>
      </c>
      <c r="BP7">
        <v>0.18954248400000001</v>
      </c>
      <c r="BQ7" t="s">
        <v>194</v>
      </c>
      <c r="BR7" s="2">
        <v>23700000</v>
      </c>
      <c r="BS7">
        <v>132.7087439</v>
      </c>
      <c r="BT7">
        <v>231.43001459999999</v>
      </c>
      <c r="BU7">
        <v>1938.9552819999999</v>
      </c>
      <c r="BV7" t="s">
        <v>194</v>
      </c>
      <c r="BW7" t="s">
        <v>194</v>
      </c>
      <c r="BX7" t="s">
        <v>194</v>
      </c>
      <c r="BY7" t="s">
        <v>194</v>
      </c>
      <c r="BZ7" t="s">
        <v>194</v>
      </c>
      <c r="CA7" t="s">
        <v>280</v>
      </c>
      <c r="CB7" t="s">
        <v>281</v>
      </c>
      <c r="CC7" t="s">
        <v>282</v>
      </c>
      <c r="CD7" t="s">
        <v>283</v>
      </c>
      <c r="CE7" t="s">
        <v>284</v>
      </c>
      <c r="CF7" t="s">
        <v>285</v>
      </c>
      <c r="CG7" t="s">
        <v>286</v>
      </c>
      <c r="CH7">
        <v>104.5312036</v>
      </c>
      <c r="CI7">
        <v>160.22376629999999</v>
      </c>
      <c r="CJ7">
        <v>-3.4874390559999999</v>
      </c>
      <c r="CK7">
        <v>12.475659719999999</v>
      </c>
      <c r="CL7">
        <v>108</v>
      </c>
      <c r="CM7">
        <v>29</v>
      </c>
      <c r="CN7">
        <v>96</v>
      </c>
      <c r="CO7">
        <v>107</v>
      </c>
      <c r="CP7">
        <v>108</v>
      </c>
      <c r="CQ7">
        <v>110</v>
      </c>
      <c r="CR7">
        <v>111</v>
      </c>
      <c r="CS7">
        <v>12.65795269</v>
      </c>
      <c r="CT7">
        <v>114</v>
      </c>
      <c r="CU7">
        <v>109</v>
      </c>
      <c r="CV7">
        <v>3</v>
      </c>
      <c r="CW7">
        <v>85</v>
      </c>
      <c r="CX7">
        <v>7.0263120710000004</v>
      </c>
      <c r="CY7">
        <v>1.783609939</v>
      </c>
      <c r="CZ7">
        <v>5.3008915300000004</v>
      </c>
      <c r="DA7">
        <v>0.12109257599999999</v>
      </c>
      <c r="DB7">
        <v>1.3824885E-2</v>
      </c>
      <c r="DC7">
        <v>1.1602442209999999</v>
      </c>
      <c r="DD7">
        <v>3.8542478729999998</v>
      </c>
      <c r="DE7">
        <v>1045.312036</v>
      </c>
      <c r="DF7">
        <v>0.118425846</v>
      </c>
      <c r="DG7">
        <v>9.3799539999999994E-3</v>
      </c>
      <c r="DH7">
        <v>95.5</v>
      </c>
      <c r="DI7">
        <v>107</v>
      </c>
      <c r="DJ7">
        <v>-81</v>
      </c>
      <c r="DK7">
        <v>111</v>
      </c>
      <c r="DL7" t="s">
        <v>194</v>
      </c>
      <c r="DM7" t="s">
        <v>194</v>
      </c>
      <c r="DN7" t="s">
        <v>194</v>
      </c>
      <c r="DO7" t="s">
        <v>194</v>
      </c>
      <c r="DP7" t="s">
        <v>194</v>
      </c>
      <c r="DQ7" t="s">
        <v>287</v>
      </c>
      <c r="DR7" t="s">
        <v>288</v>
      </c>
      <c r="DS7" t="s">
        <v>289</v>
      </c>
      <c r="DT7" t="s">
        <v>290</v>
      </c>
      <c r="DU7" t="s">
        <v>284</v>
      </c>
      <c r="DV7" t="s">
        <v>285</v>
      </c>
      <c r="DW7" t="s">
        <v>291</v>
      </c>
      <c r="DX7">
        <v>7.8230636000000006E-2</v>
      </c>
      <c r="DY7">
        <v>105.442148</v>
      </c>
      <c r="DZ7">
        <v>121.525386</v>
      </c>
      <c r="EA7">
        <v>6.4406829200000004</v>
      </c>
      <c r="EB7">
        <v>1.938838751</v>
      </c>
      <c r="EC7">
        <v>2.9882171139999998</v>
      </c>
      <c r="ED7">
        <v>43.181819830000002</v>
      </c>
      <c r="EE7">
        <v>6.4406829200000004</v>
      </c>
      <c r="EF7">
        <v>210.88429590000001</v>
      </c>
      <c r="EG7">
        <v>363.2754779</v>
      </c>
      <c r="EH7">
        <v>0.73425351299999997</v>
      </c>
      <c r="EI7">
        <v>3.0770321E-2</v>
      </c>
      <c r="EJ7">
        <v>52.111261349999999</v>
      </c>
      <c r="EK7">
        <v>2.9882171139999998</v>
      </c>
      <c r="EL7">
        <v>0.555535522</v>
      </c>
      <c r="EM7">
        <v>0.97059719899999997</v>
      </c>
      <c r="EN7">
        <v>0.52089423300000004</v>
      </c>
      <c r="EO7">
        <v>0.99373575599999997</v>
      </c>
      <c r="EP7" s="2">
        <v>9.4799999999999997E-7</v>
      </c>
      <c r="EQ7">
        <v>0.78559516200000001</v>
      </c>
      <c r="ER7">
        <v>11213.516320000001</v>
      </c>
      <c r="ES7">
        <v>363.2754779</v>
      </c>
      <c r="ET7">
        <v>-34423.408620000002</v>
      </c>
      <c r="EU7">
        <v>3492774.8050000002</v>
      </c>
      <c r="EV7">
        <v>0.79201914399999995</v>
      </c>
      <c r="EW7">
        <v>2.6086509769999999</v>
      </c>
      <c r="EX7" s="2">
        <v>1.0900000000000001E-4</v>
      </c>
      <c r="EY7">
        <v>10825.51771</v>
      </c>
      <c r="EZ7" s="2">
        <v>9.1399999999999999E-5</v>
      </c>
      <c r="FA7">
        <v>8385.6153539999996</v>
      </c>
      <c r="FB7" s="2">
        <v>2.4699999999999999E-4</v>
      </c>
      <c r="FC7">
        <v>29745.852719999999</v>
      </c>
      <c r="FD7">
        <v>95.281964149999993</v>
      </c>
      <c r="FE7">
        <v>567.38586350000003</v>
      </c>
      <c r="FF7">
        <v>0.71879643400000004</v>
      </c>
      <c r="FG7">
        <v>7.2294969999999997E-3</v>
      </c>
      <c r="FH7">
        <v>0.130200959</v>
      </c>
      <c r="FI7">
        <v>1.1150465E-2</v>
      </c>
      <c r="FJ7">
        <v>5748.3629810000002</v>
      </c>
      <c r="FK7">
        <v>81.191151009999999</v>
      </c>
      <c r="FL7">
        <v>0.69970973400000003</v>
      </c>
      <c r="FM7">
        <v>96.211031180000006</v>
      </c>
      <c r="FN7" s="2">
        <v>1.3899999999999999E-4</v>
      </c>
      <c r="FO7">
        <v>9671.930456</v>
      </c>
      <c r="FP7" s="2">
        <v>1.1E-4</v>
      </c>
      <c r="FQ7">
        <v>6244.9814960000003</v>
      </c>
      <c r="FR7">
        <v>8.2448090000000005E-3</v>
      </c>
      <c r="FS7">
        <v>1129501.24</v>
      </c>
      <c r="FT7">
        <v>18.73621103</v>
      </c>
      <c r="FU7">
        <v>4.4930961999999998E-2</v>
      </c>
      <c r="FV7">
        <v>189.3165468</v>
      </c>
      <c r="FW7">
        <v>0.45399651499999999</v>
      </c>
      <c r="FX7">
        <v>0.309806835</v>
      </c>
      <c r="FY7">
        <v>374.25388609999999</v>
      </c>
      <c r="FZ7">
        <v>85.792223770000007</v>
      </c>
      <c r="GA7">
        <v>6.5798229890000002</v>
      </c>
    </row>
    <row r="8" spans="1:183" x14ac:dyDescent="0.2">
      <c r="A8" t="s">
        <v>2449</v>
      </c>
      <c r="B8" t="s">
        <v>182</v>
      </c>
      <c r="C8" t="s">
        <v>183</v>
      </c>
      <c r="D8" s="1">
        <v>43752</v>
      </c>
      <c r="E8" t="s">
        <v>184</v>
      </c>
      <c r="F8" t="s">
        <v>185</v>
      </c>
      <c r="G8" t="s">
        <v>186</v>
      </c>
      <c r="H8">
        <v>1</v>
      </c>
      <c r="I8">
        <v>400</v>
      </c>
      <c r="J8">
        <v>10</v>
      </c>
      <c r="K8" t="s">
        <v>187</v>
      </c>
      <c r="L8" t="s">
        <v>292</v>
      </c>
      <c r="M8">
        <v>5</v>
      </c>
      <c r="N8">
        <v>0.9296875</v>
      </c>
      <c r="O8">
        <v>0.9296875</v>
      </c>
      <c r="P8" t="s">
        <v>293</v>
      </c>
      <c r="Q8">
        <v>0</v>
      </c>
      <c r="R8">
        <v>112</v>
      </c>
      <c r="T8">
        <v>4420.6307729999999</v>
      </c>
      <c r="U8">
        <v>4546.3171389999998</v>
      </c>
      <c r="V8">
        <v>1052</v>
      </c>
      <c r="W8">
        <v>2349.4474489999998</v>
      </c>
      <c r="X8">
        <v>0.53147335100000004</v>
      </c>
      <c r="Y8">
        <v>25.761097459999998</v>
      </c>
      <c r="Z8">
        <v>2.1900836999999999E-2</v>
      </c>
      <c r="AA8">
        <v>0.17042121299999999</v>
      </c>
      <c r="AB8">
        <v>1.8036770639999999</v>
      </c>
      <c r="AC8">
        <v>0.55442297299999999</v>
      </c>
      <c r="AD8">
        <v>0.80367706400000005</v>
      </c>
      <c r="AE8" t="s">
        <v>294</v>
      </c>
      <c r="AF8" t="s">
        <v>295</v>
      </c>
      <c r="AG8" t="s">
        <v>296</v>
      </c>
      <c r="AH8" t="s">
        <v>193</v>
      </c>
      <c r="AI8" t="s">
        <v>193</v>
      </c>
      <c r="AJ8" t="s">
        <v>193</v>
      </c>
      <c r="AK8" t="s">
        <v>193</v>
      </c>
      <c r="AL8" t="s">
        <v>193</v>
      </c>
      <c r="AM8" t="s">
        <v>193</v>
      </c>
      <c r="AN8" t="s">
        <v>193</v>
      </c>
      <c r="AO8" t="s">
        <v>193</v>
      </c>
      <c r="AP8" t="s">
        <v>193</v>
      </c>
      <c r="AQ8">
        <v>5.6615152359999996</v>
      </c>
      <c r="AR8" t="s">
        <v>193</v>
      </c>
      <c r="AS8" t="s">
        <v>193</v>
      </c>
      <c r="AT8">
        <v>41.090516630000003</v>
      </c>
      <c r="AU8" t="s">
        <v>193</v>
      </c>
      <c r="AV8">
        <v>208395.7623</v>
      </c>
      <c r="AW8">
        <v>47.141634979999999</v>
      </c>
      <c r="AX8">
        <v>11517.8307</v>
      </c>
      <c r="AY8">
        <v>-3.8575598000000002</v>
      </c>
      <c r="AZ8">
        <v>17.503655590000001</v>
      </c>
      <c r="BA8">
        <v>83</v>
      </c>
      <c r="BB8">
        <v>-788</v>
      </c>
      <c r="BC8">
        <v>-36</v>
      </c>
      <c r="BD8">
        <v>54</v>
      </c>
      <c r="BE8">
        <v>83</v>
      </c>
      <c r="BF8">
        <v>94</v>
      </c>
      <c r="BG8">
        <v>102</v>
      </c>
      <c r="BH8">
        <v>107.3211568</v>
      </c>
      <c r="BI8">
        <v>121</v>
      </c>
      <c r="BJ8">
        <v>40</v>
      </c>
      <c r="BK8">
        <v>909</v>
      </c>
      <c r="BL8">
        <v>60.50461189</v>
      </c>
      <c r="BM8">
        <v>21.598102579999999</v>
      </c>
      <c r="BN8">
        <v>48.219581750000003</v>
      </c>
      <c r="BO8">
        <v>2.276568406</v>
      </c>
      <c r="BP8">
        <v>0.27027026999999998</v>
      </c>
      <c r="BQ8" t="s">
        <v>194</v>
      </c>
      <c r="BR8" s="2">
        <v>14500000</v>
      </c>
      <c r="BS8">
        <v>117.2184476</v>
      </c>
      <c r="BT8">
        <v>214.32082310000001</v>
      </c>
      <c r="BU8">
        <v>0</v>
      </c>
      <c r="BV8" t="s">
        <v>194</v>
      </c>
      <c r="BW8" t="s">
        <v>194</v>
      </c>
      <c r="BX8" t="s">
        <v>194</v>
      </c>
      <c r="BY8" t="s">
        <v>194</v>
      </c>
      <c r="BZ8" t="s">
        <v>194</v>
      </c>
      <c r="CA8" t="s">
        <v>297</v>
      </c>
      <c r="CB8" t="s">
        <v>298</v>
      </c>
      <c r="CC8" t="s">
        <v>299</v>
      </c>
      <c r="CD8" t="s">
        <v>300</v>
      </c>
      <c r="CE8" t="s">
        <v>301</v>
      </c>
      <c r="CF8" t="s">
        <v>302</v>
      </c>
      <c r="CG8" t="s">
        <v>303</v>
      </c>
      <c r="CH8">
        <v>105.26425860000001</v>
      </c>
      <c r="CI8">
        <v>114.9434754</v>
      </c>
      <c r="CJ8">
        <v>-3.8531667870000001</v>
      </c>
      <c r="CK8">
        <v>17.472938630000002</v>
      </c>
      <c r="CL8">
        <v>109</v>
      </c>
      <c r="CM8">
        <v>22</v>
      </c>
      <c r="CN8">
        <v>97</v>
      </c>
      <c r="CO8">
        <v>106</v>
      </c>
      <c r="CP8">
        <v>109</v>
      </c>
      <c r="CQ8">
        <v>110</v>
      </c>
      <c r="CR8">
        <v>111</v>
      </c>
      <c r="CS8">
        <v>10.7211695</v>
      </c>
      <c r="CT8">
        <v>113</v>
      </c>
      <c r="CU8">
        <v>110</v>
      </c>
      <c r="CV8">
        <v>4</v>
      </c>
      <c r="CW8">
        <v>91</v>
      </c>
      <c r="CX8">
        <v>6.0469321520000001</v>
      </c>
      <c r="CY8">
        <v>2.1942373329999998</v>
      </c>
      <c r="CZ8">
        <v>4.794676806</v>
      </c>
      <c r="DA8">
        <v>0.101850045</v>
      </c>
      <c r="DB8">
        <v>1.8518519000000001E-2</v>
      </c>
      <c r="DC8">
        <v>1.1656545389999999</v>
      </c>
      <c r="DD8">
        <v>3.8722205629999999</v>
      </c>
      <c r="DE8">
        <v>1052.6425859999999</v>
      </c>
      <c r="DF8">
        <v>0.116909309</v>
      </c>
      <c r="DG8">
        <v>1.0541846000000001E-2</v>
      </c>
      <c r="DH8">
        <v>64.5</v>
      </c>
      <c r="DI8">
        <v>108</v>
      </c>
      <c r="DJ8">
        <v>-96.5</v>
      </c>
      <c r="DK8">
        <v>111</v>
      </c>
      <c r="DL8" t="s">
        <v>194</v>
      </c>
      <c r="DM8" t="s">
        <v>194</v>
      </c>
      <c r="DN8" t="s">
        <v>194</v>
      </c>
      <c r="DO8" t="s">
        <v>194</v>
      </c>
      <c r="DP8" t="s">
        <v>194</v>
      </c>
      <c r="DQ8" t="s">
        <v>304</v>
      </c>
      <c r="DR8" t="s">
        <v>305</v>
      </c>
      <c r="DS8" t="s">
        <v>306</v>
      </c>
      <c r="DT8" t="s">
        <v>307</v>
      </c>
      <c r="DU8" t="s">
        <v>301</v>
      </c>
      <c r="DV8" t="s">
        <v>302</v>
      </c>
      <c r="DW8" t="s">
        <v>308</v>
      </c>
      <c r="DX8">
        <v>9.7731238999999998E-2</v>
      </c>
      <c r="DY8">
        <v>106.06881079999999</v>
      </c>
      <c r="DZ8">
        <v>88.237349350000002</v>
      </c>
      <c r="EA8">
        <v>6.4903204990000001</v>
      </c>
      <c r="EB8">
        <v>1.9537811519999999</v>
      </c>
      <c r="EC8">
        <v>2.6168037900000001</v>
      </c>
      <c r="ED8">
        <v>26.410876940000001</v>
      </c>
      <c r="EE8">
        <v>6.4903204990000001</v>
      </c>
      <c r="EF8">
        <v>212.13762149999999</v>
      </c>
      <c r="EG8">
        <v>263.25466219999998</v>
      </c>
      <c r="EH8">
        <v>0.73531586599999998</v>
      </c>
      <c r="EI8">
        <v>3.1704851999999999E-2</v>
      </c>
      <c r="EJ8">
        <v>33.258539020000001</v>
      </c>
      <c r="EK8">
        <v>2.6168037900000001</v>
      </c>
      <c r="EL8">
        <v>0.54004553700000002</v>
      </c>
      <c r="EM8">
        <v>0.97471036300000002</v>
      </c>
      <c r="EN8">
        <v>0.49810947500000002</v>
      </c>
      <c r="EO8">
        <v>0.99637273100000001</v>
      </c>
      <c r="EP8" s="2">
        <v>7.4099999999999995E-8</v>
      </c>
      <c r="EQ8">
        <v>0.81153933499999997</v>
      </c>
      <c r="ER8">
        <v>11322.200699999999</v>
      </c>
      <c r="ES8">
        <v>263.25466219999998</v>
      </c>
      <c r="ET8">
        <v>-23512.380580000001</v>
      </c>
      <c r="EU8">
        <v>2415186.5010000002</v>
      </c>
      <c r="EV8">
        <v>0.81818807299999996</v>
      </c>
      <c r="EW8">
        <v>2.5519572300000002</v>
      </c>
      <c r="EX8" s="2">
        <v>1.0399999999999999E-4</v>
      </c>
      <c r="EY8">
        <v>10932.544959999999</v>
      </c>
      <c r="EZ8" s="2">
        <v>8.8599999999999999E-5</v>
      </c>
      <c r="FA8">
        <v>8772.4483670000009</v>
      </c>
      <c r="FB8" s="2">
        <v>2.34E-4</v>
      </c>
      <c r="FC8">
        <v>29466.850340000001</v>
      </c>
      <c r="FD8">
        <v>71.434120550000003</v>
      </c>
      <c r="FE8">
        <v>484.94593559999998</v>
      </c>
      <c r="FF8">
        <v>0.73431558900000005</v>
      </c>
      <c r="FG8">
        <v>1.0995868000000001E-2</v>
      </c>
      <c r="FH8">
        <v>0.103847415</v>
      </c>
      <c r="FI8">
        <v>8.7180750000000005E-3</v>
      </c>
      <c r="FJ8">
        <v>3678.804893</v>
      </c>
      <c r="FK8">
        <v>92.850600630000002</v>
      </c>
      <c r="FL8">
        <v>0.71781543400000003</v>
      </c>
      <c r="FM8">
        <v>99.989583330000002</v>
      </c>
      <c r="FN8" s="2">
        <v>1.2300000000000001E-4</v>
      </c>
      <c r="FO8">
        <v>10024.020829999999</v>
      </c>
      <c r="FP8" s="2">
        <v>9.8800000000000003E-5</v>
      </c>
      <c r="FQ8">
        <v>6752.4109259999996</v>
      </c>
      <c r="FR8">
        <v>8.330067E-3</v>
      </c>
      <c r="FS8">
        <v>1204333.5160000001</v>
      </c>
      <c r="FT8">
        <v>18.244791670000001</v>
      </c>
      <c r="FU8">
        <v>4.7512477999999997E-2</v>
      </c>
      <c r="FV8">
        <v>183.54166670000001</v>
      </c>
      <c r="FW8">
        <v>0.47797308999999999</v>
      </c>
      <c r="FX8">
        <v>0.365019011</v>
      </c>
      <c r="FY8">
        <v>241.57454430000001</v>
      </c>
      <c r="FZ8">
        <v>92.484266489999996</v>
      </c>
      <c r="GA8">
        <v>6.2709618300000001</v>
      </c>
    </row>
    <row r="9" spans="1:183" x14ac:dyDescent="0.2">
      <c r="A9" t="s">
        <v>2449</v>
      </c>
      <c r="B9" t="s">
        <v>182</v>
      </c>
      <c r="C9" t="s">
        <v>309</v>
      </c>
      <c r="D9" s="1">
        <v>43752</v>
      </c>
      <c r="E9" t="s">
        <v>184</v>
      </c>
      <c r="F9" t="s">
        <v>185</v>
      </c>
      <c r="G9" t="s">
        <v>186</v>
      </c>
      <c r="H9">
        <v>1</v>
      </c>
      <c r="I9">
        <v>400</v>
      </c>
      <c r="J9">
        <v>10</v>
      </c>
      <c r="K9" t="s">
        <v>187</v>
      </c>
      <c r="L9" t="s">
        <v>310</v>
      </c>
      <c r="M9">
        <v>5</v>
      </c>
      <c r="N9">
        <v>0.9296875</v>
      </c>
      <c r="O9">
        <v>0.9296875</v>
      </c>
      <c r="P9" t="s">
        <v>311</v>
      </c>
      <c r="Q9">
        <v>0</v>
      </c>
      <c r="R9">
        <v>113</v>
      </c>
      <c r="T9">
        <v>2694.153875</v>
      </c>
      <c r="U9">
        <v>2783.1066890000002</v>
      </c>
      <c r="V9">
        <v>644</v>
      </c>
      <c r="W9">
        <v>1497.575593</v>
      </c>
      <c r="X9">
        <v>0.55586119499999997</v>
      </c>
      <c r="Y9">
        <v>21.511006600000002</v>
      </c>
      <c r="Z9">
        <v>2.6227949E-2</v>
      </c>
      <c r="AA9">
        <v>0.24441671700000001</v>
      </c>
      <c r="AB9">
        <v>1.599397322</v>
      </c>
      <c r="AC9">
        <v>0.62523550999999999</v>
      </c>
      <c r="AD9">
        <v>0.59939732199999995</v>
      </c>
      <c r="AE9" t="s">
        <v>312</v>
      </c>
      <c r="AF9" t="s">
        <v>313</v>
      </c>
      <c r="AG9" t="s">
        <v>314</v>
      </c>
      <c r="AH9" t="s">
        <v>193</v>
      </c>
      <c r="AI9" t="s">
        <v>193</v>
      </c>
      <c r="AJ9" t="s">
        <v>193</v>
      </c>
      <c r="AK9" t="s">
        <v>193</v>
      </c>
      <c r="AL9" t="s">
        <v>193</v>
      </c>
      <c r="AM9" t="s">
        <v>193</v>
      </c>
      <c r="AN9" t="s">
        <v>193</v>
      </c>
      <c r="AO9" t="s">
        <v>193</v>
      </c>
      <c r="AP9" t="s">
        <v>193</v>
      </c>
      <c r="AQ9">
        <v>2.3520129779999999</v>
      </c>
      <c r="AR9" t="s">
        <v>193</v>
      </c>
      <c r="AS9" t="s">
        <v>193</v>
      </c>
      <c r="AT9">
        <v>29.28515625</v>
      </c>
      <c r="AU9" t="s">
        <v>193</v>
      </c>
      <c r="AV9">
        <v>155834.21090000001</v>
      </c>
      <c r="AW9">
        <v>57.841614909999997</v>
      </c>
      <c r="AX9">
        <v>8894.9749140000004</v>
      </c>
      <c r="AY9">
        <v>-3.726594682</v>
      </c>
      <c r="AZ9">
        <v>18.665498509999999</v>
      </c>
      <c r="BA9">
        <v>82</v>
      </c>
      <c r="BB9">
        <v>-601</v>
      </c>
      <c r="BC9">
        <v>0</v>
      </c>
      <c r="BD9">
        <v>49</v>
      </c>
      <c r="BE9">
        <v>82</v>
      </c>
      <c r="BF9">
        <v>99</v>
      </c>
      <c r="BG9">
        <v>109</v>
      </c>
      <c r="BH9">
        <v>94.313174660000001</v>
      </c>
      <c r="BI9">
        <v>374</v>
      </c>
      <c r="BJ9">
        <v>50</v>
      </c>
      <c r="BK9">
        <v>975</v>
      </c>
      <c r="BL9">
        <v>51.001986809999998</v>
      </c>
      <c r="BM9">
        <v>21.675766679999999</v>
      </c>
      <c r="BN9">
        <v>45.462732920000001</v>
      </c>
      <c r="BO9">
        <v>1.6305418650000001</v>
      </c>
      <c r="BP9">
        <v>0.337837838</v>
      </c>
      <c r="BQ9" t="s">
        <v>194</v>
      </c>
      <c r="BR9">
        <v>7882964</v>
      </c>
      <c r="BS9">
        <v>110.6373686</v>
      </c>
      <c r="BT9">
        <v>160.97938540000001</v>
      </c>
      <c r="BU9">
        <v>2783.1066890000002</v>
      </c>
      <c r="BV9" t="s">
        <v>194</v>
      </c>
      <c r="BW9" t="s">
        <v>194</v>
      </c>
      <c r="BX9" t="s">
        <v>194</v>
      </c>
      <c r="BY9" t="s">
        <v>194</v>
      </c>
      <c r="BZ9" t="s">
        <v>194</v>
      </c>
      <c r="CA9" t="s">
        <v>315</v>
      </c>
      <c r="CB9" t="s">
        <v>316</v>
      </c>
      <c r="CC9" t="s">
        <v>317</v>
      </c>
      <c r="CD9" t="s">
        <v>318</v>
      </c>
      <c r="CE9" t="s">
        <v>319</v>
      </c>
      <c r="CF9" t="s">
        <v>320</v>
      </c>
      <c r="CG9" t="s">
        <v>321</v>
      </c>
      <c r="CH9">
        <v>106.3245342</v>
      </c>
      <c r="CI9">
        <v>89.303062670000003</v>
      </c>
      <c r="CJ9">
        <v>-3.717548973</v>
      </c>
      <c r="CK9">
        <v>18.624302879999998</v>
      </c>
      <c r="CL9">
        <v>109</v>
      </c>
      <c r="CM9">
        <v>40</v>
      </c>
      <c r="CN9">
        <v>101</v>
      </c>
      <c r="CO9">
        <v>105</v>
      </c>
      <c r="CP9">
        <v>109</v>
      </c>
      <c r="CQ9">
        <v>110</v>
      </c>
      <c r="CR9">
        <v>111</v>
      </c>
      <c r="CS9">
        <v>9.4500297710000005</v>
      </c>
      <c r="CT9">
        <v>138</v>
      </c>
      <c r="CU9">
        <v>110</v>
      </c>
      <c r="CV9">
        <v>5</v>
      </c>
      <c r="CW9">
        <v>98</v>
      </c>
      <c r="CX9">
        <v>5.1238522819999996</v>
      </c>
      <c r="CY9">
        <v>2.1535117420000001</v>
      </c>
      <c r="CZ9">
        <v>4.5481366459999997</v>
      </c>
      <c r="DA9">
        <v>8.8879107999999998E-2</v>
      </c>
      <c r="DB9">
        <v>2.3255814E-2</v>
      </c>
      <c r="DC9">
        <v>1.225145516</v>
      </c>
      <c r="DD9">
        <v>4.0698453099999998</v>
      </c>
      <c r="DE9">
        <v>1063.2453419999999</v>
      </c>
      <c r="DF9">
        <v>8.9464140999999997E-2</v>
      </c>
      <c r="DG9">
        <v>1.1786411E-2</v>
      </c>
      <c r="DH9">
        <v>27.5</v>
      </c>
      <c r="DI9">
        <v>108</v>
      </c>
      <c r="DJ9">
        <v>-39</v>
      </c>
      <c r="DK9">
        <v>112</v>
      </c>
      <c r="DL9" t="s">
        <v>194</v>
      </c>
      <c r="DM9" t="s">
        <v>194</v>
      </c>
      <c r="DN9" t="s">
        <v>194</v>
      </c>
      <c r="DO9" t="s">
        <v>194</v>
      </c>
      <c r="DP9" t="s">
        <v>194</v>
      </c>
      <c r="DQ9" t="s">
        <v>322</v>
      </c>
      <c r="DR9" t="s">
        <v>323</v>
      </c>
      <c r="DS9" t="s">
        <v>324</v>
      </c>
      <c r="DT9" t="s">
        <v>325</v>
      </c>
      <c r="DU9" t="s">
        <v>319</v>
      </c>
      <c r="DV9" t="s">
        <v>320</v>
      </c>
      <c r="DW9" t="s">
        <v>326</v>
      </c>
      <c r="DX9">
        <v>5.3410025E-2</v>
      </c>
      <c r="DY9">
        <v>106.8457272</v>
      </c>
      <c r="DZ9">
        <v>68.154301790000005</v>
      </c>
      <c r="EA9">
        <v>6.8067567520000001</v>
      </c>
      <c r="EB9">
        <v>2.0490379559999998</v>
      </c>
      <c r="EC9">
        <v>2.5024650780000002</v>
      </c>
      <c r="ED9">
        <v>21.584422849999999</v>
      </c>
      <c r="EE9">
        <v>6.8067567520000001</v>
      </c>
      <c r="EF9">
        <v>213.6914544</v>
      </c>
      <c r="EG9">
        <v>196.28381769999999</v>
      </c>
      <c r="EH9">
        <v>0.79843001800000002</v>
      </c>
      <c r="EI9">
        <v>2.0040321999999999E-2</v>
      </c>
      <c r="EJ9">
        <v>27.846754310000001</v>
      </c>
      <c r="EK9">
        <v>2.5024650780000002</v>
      </c>
      <c r="EL9">
        <v>0.52579990399999998</v>
      </c>
      <c r="EM9">
        <v>0.97708607999999997</v>
      </c>
      <c r="EN9">
        <v>0.48011826400000002</v>
      </c>
      <c r="EO9">
        <v>0.99730602999999995</v>
      </c>
      <c r="EP9">
        <v>0</v>
      </c>
      <c r="EQ9">
        <v>0.79570802100000004</v>
      </c>
      <c r="ER9">
        <v>11470.24035</v>
      </c>
      <c r="ES9">
        <v>196.28381769999999</v>
      </c>
      <c r="ET9">
        <v>-15577.752539999999</v>
      </c>
      <c r="EU9">
        <v>1530441.7150000001</v>
      </c>
      <c r="EV9">
        <v>0.82286219500000002</v>
      </c>
      <c r="EW9">
        <v>2.217060488</v>
      </c>
      <c r="EX9" s="2">
        <v>9.5600000000000006E-5</v>
      </c>
      <c r="EY9">
        <v>11257.87077</v>
      </c>
      <c r="EZ9" s="2">
        <v>8.0400000000000003E-5</v>
      </c>
      <c r="FA9">
        <v>9173.0728319999998</v>
      </c>
      <c r="FB9" s="2">
        <v>1.9900000000000001E-4</v>
      </c>
      <c r="FC9">
        <v>25689.990949999999</v>
      </c>
      <c r="FD9">
        <v>38.004680229999998</v>
      </c>
      <c r="FE9">
        <v>310.2338173</v>
      </c>
      <c r="FF9">
        <v>0.76009316800000004</v>
      </c>
      <c r="FG9">
        <v>1.8646461E-2</v>
      </c>
      <c r="FH9">
        <v>0.10396188100000001</v>
      </c>
      <c r="FI9">
        <v>6.1578980000000002E-3</v>
      </c>
      <c r="FJ9">
        <v>2880.286368</v>
      </c>
      <c r="FK9">
        <v>87.082060859999999</v>
      </c>
      <c r="FL9">
        <v>0.67409640299999996</v>
      </c>
      <c r="FM9">
        <v>28.462809920000002</v>
      </c>
      <c r="FN9" s="2">
        <v>1.05E-4</v>
      </c>
      <c r="FO9">
        <v>10760.078509999999</v>
      </c>
      <c r="FP9" s="2">
        <v>7.6100000000000007E-5</v>
      </c>
      <c r="FQ9">
        <v>7049.0451190000003</v>
      </c>
      <c r="FR9">
        <v>2.3922510000000002E-3</v>
      </c>
      <c r="FS9">
        <v>341319.7893</v>
      </c>
      <c r="FT9">
        <v>12.157024789999999</v>
      </c>
      <c r="FU9">
        <v>5.0235639999999998E-2</v>
      </c>
      <c r="FV9">
        <v>101.7107438</v>
      </c>
      <c r="FW9">
        <v>0.42029232999999999</v>
      </c>
      <c r="FX9">
        <v>0.37577639800000001</v>
      </c>
      <c r="FY9">
        <v>189.34971999999999</v>
      </c>
      <c r="FZ9">
        <v>21.381053210000001</v>
      </c>
      <c r="GA9">
        <v>6.3136355560000004</v>
      </c>
    </row>
    <row r="10" spans="1:183" x14ac:dyDescent="0.2">
      <c r="A10" t="s">
        <v>2449</v>
      </c>
      <c r="B10" t="s">
        <v>182</v>
      </c>
      <c r="C10" t="s">
        <v>309</v>
      </c>
      <c r="D10" s="1">
        <v>43752</v>
      </c>
      <c r="E10" t="s">
        <v>184</v>
      </c>
      <c r="F10" t="s">
        <v>185</v>
      </c>
      <c r="G10" t="s">
        <v>186</v>
      </c>
      <c r="H10">
        <v>1</v>
      </c>
      <c r="I10">
        <v>400</v>
      </c>
      <c r="J10">
        <v>10</v>
      </c>
      <c r="K10" t="s">
        <v>187</v>
      </c>
      <c r="L10" t="s">
        <v>327</v>
      </c>
      <c r="M10">
        <v>5</v>
      </c>
      <c r="N10">
        <v>0.9296875</v>
      </c>
      <c r="O10">
        <v>0.9296875</v>
      </c>
      <c r="P10" t="s">
        <v>328</v>
      </c>
      <c r="Q10">
        <v>0</v>
      </c>
      <c r="R10">
        <v>114</v>
      </c>
      <c r="T10">
        <v>1184.8370870000001</v>
      </c>
      <c r="U10">
        <v>1257.5839229999999</v>
      </c>
      <c r="V10">
        <v>291</v>
      </c>
      <c r="W10">
        <v>808.48378019999996</v>
      </c>
      <c r="X10">
        <v>0.68235860400000004</v>
      </c>
      <c r="Y10">
        <v>19.402081639999999</v>
      </c>
      <c r="Z10">
        <v>2.9078817E-2</v>
      </c>
      <c r="AA10">
        <v>0.300438592</v>
      </c>
      <c r="AB10">
        <v>1.493074325</v>
      </c>
      <c r="AC10">
        <v>0.66975902200000004</v>
      </c>
      <c r="AD10">
        <v>0.49307432499999998</v>
      </c>
      <c r="AE10" t="s">
        <v>329</v>
      </c>
      <c r="AF10" t="s">
        <v>330</v>
      </c>
      <c r="AG10" t="s">
        <v>331</v>
      </c>
      <c r="AH10" t="s">
        <v>193</v>
      </c>
      <c r="AI10" t="s">
        <v>193</v>
      </c>
      <c r="AJ10" t="s">
        <v>193</v>
      </c>
      <c r="AK10" t="s">
        <v>193</v>
      </c>
      <c r="AL10" t="s">
        <v>193</v>
      </c>
      <c r="AM10" t="s">
        <v>193</v>
      </c>
      <c r="AN10" t="s">
        <v>193</v>
      </c>
      <c r="AO10" t="s">
        <v>193</v>
      </c>
      <c r="AP10" t="s">
        <v>193</v>
      </c>
      <c r="AQ10">
        <v>18.511174459999999</v>
      </c>
      <c r="AR10" t="s">
        <v>193</v>
      </c>
      <c r="AS10" t="s">
        <v>193</v>
      </c>
      <c r="AT10">
        <v>26.352682640000001</v>
      </c>
      <c r="AU10" t="s">
        <v>193</v>
      </c>
      <c r="AV10">
        <v>25085.159080000001</v>
      </c>
      <c r="AW10">
        <v>21.171821309999999</v>
      </c>
      <c r="AX10">
        <v>17596.657759999998</v>
      </c>
      <c r="AY10">
        <v>-3.0128398409999999</v>
      </c>
      <c r="AZ10">
        <v>11.006878439999999</v>
      </c>
      <c r="BA10">
        <v>62</v>
      </c>
      <c r="BB10">
        <v>-743</v>
      </c>
      <c r="BC10">
        <v>-120</v>
      </c>
      <c r="BD10">
        <v>17</v>
      </c>
      <c r="BE10">
        <v>62</v>
      </c>
      <c r="BF10">
        <v>91</v>
      </c>
      <c r="BG10">
        <v>104</v>
      </c>
      <c r="BH10">
        <v>132.65239450000001</v>
      </c>
      <c r="BI10">
        <v>182</v>
      </c>
      <c r="BJ10">
        <v>74</v>
      </c>
      <c r="BK10">
        <v>925</v>
      </c>
      <c r="BL10">
        <v>83.486118489999996</v>
      </c>
      <c r="BM10">
        <v>38.639613920000002</v>
      </c>
      <c r="BN10">
        <v>72.113402059999999</v>
      </c>
      <c r="BO10">
        <v>6.2655164409999999</v>
      </c>
      <c r="BP10">
        <v>0.68518518500000003</v>
      </c>
      <c r="BQ10" t="s">
        <v>194</v>
      </c>
      <c r="BR10">
        <v>5251067</v>
      </c>
      <c r="BS10">
        <v>134.33132090000001</v>
      </c>
      <c r="BT10">
        <v>26.625342100000001</v>
      </c>
      <c r="BU10">
        <v>419.19464110000001</v>
      </c>
      <c r="BV10" t="s">
        <v>194</v>
      </c>
      <c r="BW10" t="s">
        <v>194</v>
      </c>
      <c r="BX10" t="s">
        <v>194</v>
      </c>
      <c r="BY10" t="s">
        <v>194</v>
      </c>
      <c r="BZ10" t="s">
        <v>194</v>
      </c>
      <c r="CA10" t="s">
        <v>332</v>
      </c>
      <c r="CB10" t="s">
        <v>333</v>
      </c>
      <c r="CC10" t="s">
        <v>334</v>
      </c>
      <c r="CD10" t="s">
        <v>335</v>
      </c>
      <c r="CE10" t="s">
        <v>336</v>
      </c>
      <c r="CF10" t="s">
        <v>337</v>
      </c>
      <c r="CG10" t="s">
        <v>338</v>
      </c>
      <c r="CH10">
        <v>102.6357388</v>
      </c>
      <c r="CI10">
        <v>175.74360250000001</v>
      </c>
      <c r="CJ10">
        <v>-3.0242355519999999</v>
      </c>
      <c r="CK10">
        <v>11.11666475</v>
      </c>
      <c r="CL10">
        <v>107</v>
      </c>
      <c r="CM10">
        <v>26</v>
      </c>
      <c r="CN10">
        <v>89</v>
      </c>
      <c r="CO10">
        <v>102</v>
      </c>
      <c r="CP10">
        <v>107</v>
      </c>
      <c r="CQ10">
        <v>110</v>
      </c>
      <c r="CR10">
        <v>111</v>
      </c>
      <c r="CS10">
        <v>13.25683229</v>
      </c>
      <c r="CT10">
        <v>119</v>
      </c>
      <c r="CU10">
        <v>110</v>
      </c>
      <c r="CV10">
        <v>8</v>
      </c>
      <c r="CW10">
        <v>93</v>
      </c>
      <c r="CX10">
        <v>8.3320697680000002</v>
      </c>
      <c r="CY10">
        <v>3.8672642289999999</v>
      </c>
      <c r="CZ10">
        <v>7.2096219929999998</v>
      </c>
      <c r="DA10">
        <v>0.1291639</v>
      </c>
      <c r="DB10">
        <v>3.7735849000000002E-2</v>
      </c>
      <c r="DC10">
        <v>1.391536391</v>
      </c>
      <c r="DD10">
        <v>4.6225838320000001</v>
      </c>
      <c r="DE10">
        <v>1026.3573879999999</v>
      </c>
      <c r="DF10">
        <v>5.8867986999999997E-2</v>
      </c>
      <c r="DG10">
        <v>1.4223062E-2</v>
      </c>
      <c r="DH10">
        <v>7</v>
      </c>
      <c r="DI10">
        <v>105</v>
      </c>
      <c r="DJ10">
        <v>-11.5</v>
      </c>
      <c r="DK10">
        <v>111</v>
      </c>
      <c r="DL10" t="s">
        <v>194</v>
      </c>
      <c r="DM10" t="s">
        <v>194</v>
      </c>
      <c r="DN10" t="s">
        <v>194</v>
      </c>
      <c r="DO10" t="s">
        <v>194</v>
      </c>
      <c r="DP10" t="s">
        <v>194</v>
      </c>
      <c r="DQ10" t="s">
        <v>339</v>
      </c>
      <c r="DR10" t="s">
        <v>340</v>
      </c>
      <c r="DS10" t="s">
        <v>341</v>
      </c>
      <c r="DT10" t="s">
        <v>342</v>
      </c>
      <c r="DU10" t="s">
        <v>336</v>
      </c>
      <c r="DV10" t="s">
        <v>337</v>
      </c>
      <c r="DW10" t="s">
        <v>343</v>
      </c>
      <c r="DX10">
        <v>4.3809524000000002E-2</v>
      </c>
      <c r="DY10">
        <v>103.7242857</v>
      </c>
      <c r="DZ10">
        <v>133.25874350000001</v>
      </c>
      <c r="EA10">
        <v>7.5123583729999996</v>
      </c>
      <c r="EB10">
        <v>2.261445208</v>
      </c>
      <c r="EC10">
        <v>3.74</v>
      </c>
      <c r="ED10">
        <v>40.767638099999999</v>
      </c>
      <c r="EE10">
        <v>7.5123583729999996</v>
      </c>
      <c r="EF10">
        <v>207.44857139999999</v>
      </c>
      <c r="EG10">
        <v>385.89493390000001</v>
      </c>
      <c r="EH10">
        <v>1.3181941740000001</v>
      </c>
      <c r="EI10">
        <v>1.2062132E-2</v>
      </c>
      <c r="EJ10">
        <v>54.7552381</v>
      </c>
      <c r="EK10">
        <v>3.74</v>
      </c>
      <c r="EL10">
        <v>0.46370962799999998</v>
      </c>
      <c r="EM10">
        <v>0.96512714200000005</v>
      </c>
      <c r="EN10">
        <v>0.40616022899999998</v>
      </c>
      <c r="EO10">
        <v>0.99433228600000001</v>
      </c>
      <c r="EP10">
        <v>0</v>
      </c>
      <c r="EQ10">
        <v>0.79455292499999997</v>
      </c>
      <c r="ER10">
        <v>10864.60857</v>
      </c>
      <c r="ES10">
        <v>385.89493390000001</v>
      </c>
      <c r="ET10">
        <v>-32325.829559999998</v>
      </c>
      <c r="EU10">
        <v>3483072.3429999999</v>
      </c>
      <c r="EV10">
        <v>0.86635437299999996</v>
      </c>
      <c r="EW10">
        <v>1.984583185</v>
      </c>
      <c r="EX10" s="2">
        <v>1.16E-4</v>
      </c>
      <c r="EY10">
        <v>10474.406429999999</v>
      </c>
      <c r="EZ10" s="2">
        <v>1.0399999999999999E-4</v>
      </c>
      <c r="FA10">
        <v>8924.0951659999992</v>
      </c>
      <c r="FB10" s="2">
        <v>2.0100000000000001E-4</v>
      </c>
      <c r="FC10">
        <v>21976.733660000002</v>
      </c>
      <c r="FD10">
        <v>11.732527920000001</v>
      </c>
      <c r="FE10">
        <v>165.90984499999999</v>
      </c>
      <c r="FF10">
        <v>0.801546392</v>
      </c>
      <c r="FG10">
        <v>4.5225653999999997E-2</v>
      </c>
      <c r="FH10">
        <v>0.35784546499999997</v>
      </c>
      <c r="FI10">
        <v>3.336992E-3</v>
      </c>
      <c r="FJ10">
        <v>3428.2072029999999</v>
      </c>
      <c r="FK10">
        <v>132.60900430000001</v>
      </c>
      <c r="FL10">
        <v>0.74957057599999999</v>
      </c>
      <c r="FM10">
        <v>11.32638889</v>
      </c>
      <c r="FN10" s="2">
        <v>1.3300000000000001E-4</v>
      </c>
      <c r="FO10">
        <v>9867.9305559999993</v>
      </c>
      <c r="FP10" s="2">
        <v>1.1E-4</v>
      </c>
      <c r="FQ10">
        <v>7070.1931329999998</v>
      </c>
      <c r="FR10">
        <v>1.0147310000000001E-3</v>
      </c>
      <c r="FS10">
        <v>131413.21530000001</v>
      </c>
      <c r="FT10">
        <v>5.4027777779999999</v>
      </c>
      <c r="FU10">
        <v>3.7519289999999997E-2</v>
      </c>
      <c r="FV10">
        <v>75.388888890000004</v>
      </c>
      <c r="FW10">
        <v>0.523533951</v>
      </c>
      <c r="FX10">
        <v>0.49484536099999998</v>
      </c>
      <c r="FY10">
        <v>282.97665899999998</v>
      </c>
      <c r="FZ10">
        <v>7.2426215279999999</v>
      </c>
      <c r="GA10">
        <v>6.0026040820000004</v>
      </c>
    </row>
    <row r="11" spans="1:183" x14ac:dyDescent="0.2">
      <c r="A11" t="s">
        <v>2449</v>
      </c>
      <c r="B11" t="s">
        <v>182</v>
      </c>
      <c r="C11" t="s">
        <v>309</v>
      </c>
      <c r="D11" s="1">
        <v>43752</v>
      </c>
      <c r="E11" t="s">
        <v>184</v>
      </c>
      <c r="F11" t="s">
        <v>185</v>
      </c>
      <c r="G11" t="s">
        <v>186</v>
      </c>
      <c r="H11">
        <v>1</v>
      </c>
      <c r="I11">
        <v>400</v>
      </c>
      <c r="J11">
        <v>10</v>
      </c>
      <c r="K11" t="s">
        <v>187</v>
      </c>
      <c r="L11" t="s">
        <v>344</v>
      </c>
      <c r="M11">
        <v>5</v>
      </c>
      <c r="N11">
        <v>0.9296875</v>
      </c>
      <c r="O11">
        <v>0.9296875</v>
      </c>
      <c r="P11" t="s">
        <v>345</v>
      </c>
      <c r="Q11">
        <v>0</v>
      </c>
      <c r="R11">
        <v>115</v>
      </c>
      <c r="T11">
        <v>565.76871240000003</v>
      </c>
      <c r="U11">
        <v>617.98797609999997</v>
      </c>
      <c r="V11">
        <v>143</v>
      </c>
      <c r="W11">
        <v>462.11223269999999</v>
      </c>
      <c r="X11">
        <v>0.81678647599999998</v>
      </c>
      <c r="Y11">
        <v>17.558292139999999</v>
      </c>
      <c r="Z11">
        <v>3.2132371999999999E-2</v>
      </c>
      <c r="AA11">
        <v>0.36684941599999998</v>
      </c>
      <c r="AB11">
        <v>1.3969173859999999</v>
      </c>
      <c r="AC11">
        <v>0.71586194700000005</v>
      </c>
      <c r="AD11">
        <v>0.39691738599999998</v>
      </c>
      <c r="AE11" t="s">
        <v>346</v>
      </c>
      <c r="AF11" t="s">
        <v>347</v>
      </c>
      <c r="AG11" t="s">
        <v>348</v>
      </c>
      <c r="AH11" t="s">
        <v>193</v>
      </c>
      <c r="AI11" t="s">
        <v>193</v>
      </c>
      <c r="AJ11" t="s">
        <v>193</v>
      </c>
      <c r="AK11" t="s">
        <v>193</v>
      </c>
      <c r="AL11" t="s">
        <v>193</v>
      </c>
      <c r="AM11" t="s">
        <v>193</v>
      </c>
      <c r="AN11" t="s">
        <v>193</v>
      </c>
      <c r="AO11" t="s">
        <v>193</v>
      </c>
      <c r="AP11" t="s">
        <v>193</v>
      </c>
      <c r="AQ11">
        <v>1.5202076229999999</v>
      </c>
      <c r="AR11" t="s">
        <v>193</v>
      </c>
      <c r="AS11" t="s">
        <v>193</v>
      </c>
      <c r="AT11">
        <v>17.888936619999999</v>
      </c>
      <c r="AU11" t="s">
        <v>193</v>
      </c>
      <c r="AV11">
        <v>16031.43233</v>
      </c>
      <c r="AW11">
        <v>28.335664340000001</v>
      </c>
      <c r="AX11">
        <v>4241.2859310000003</v>
      </c>
      <c r="AY11">
        <v>-3.3355665659999998</v>
      </c>
      <c r="AZ11">
        <v>16.195203509999999</v>
      </c>
      <c r="BA11">
        <v>40</v>
      </c>
      <c r="BB11">
        <v>-339</v>
      </c>
      <c r="BC11">
        <v>-12</v>
      </c>
      <c r="BD11">
        <v>11</v>
      </c>
      <c r="BE11">
        <v>40</v>
      </c>
      <c r="BF11">
        <v>56</v>
      </c>
      <c r="BG11">
        <v>70</v>
      </c>
      <c r="BH11">
        <v>65.125155899999996</v>
      </c>
      <c r="BI11">
        <v>198</v>
      </c>
      <c r="BJ11">
        <v>45</v>
      </c>
      <c r="BK11">
        <v>537</v>
      </c>
      <c r="BL11">
        <v>35.94102401</v>
      </c>
      <c r="BM11">
        <v>17.537391299999999</v>
      </c>
      <c r="BN11">
        <v>34.055944060000002</v>
      </c>
      <c r="BO11">
        <v>2.298345828</v>
      </c>
      <c r="BP11">
        <v>0.67164179099999999</v>
      </c>
      <c r="BQ11" t="s">
        <v>194</v>
      </c>
      <c r="BR11">
        <v>721320</v>
      </c>
      <c r="BS11">
        <v>71.022502099999997</v>
      </c>
      <c r="BT11">
        <v>17.511099850000001</v>
      </c>
      <c r="BU11">
        <v>205.995992</v>
      </c>
      <c r="BV11" t="s">
        <v>194</v>
      </c>
      <c r="BW11" t="s">
        <v>194</v>
      </c>
      <c r="BX11" t="s">
        <v>194</v>
      </c>
      <c r="BY11" t="s">
        <v>194</v>
      </c>
      <c r="BZ11" t="s">
        <v>194</v>
      </c>
      <c r="CA11" t="s">
        <v>349</v>
      </c>
      <c r="CB11" t="s">
        <v>350</v>
      </c>
      <c r="CC11" t="s">
        <v>351</v>
      </c>
      <c r="CD11" t="s">
        <v>352</v>
      </c>
      <c r="CE11" t="s">
        <v>353</v>
      </c>
      <c r="CF11" t="s">
        <v>354</v>
      </c>
      <c r="CG11" t="s">
        <v>355</v>
      </c>
      <c r="CH11">
        <v>103.34965029999999</v>
      </c>
      <c r="CI11">
        <v>42.115506869999997</v>
      </c>
      <c r="CJ11">
        <v>-3.3470324040000001</v>
      </c>
      <c r="CK11">
        <v>16.148353780000001</v>
      </c>
      <c r="CL11">
        <v>105</v>
      </c>
      <c r="CM11">
        <v>67</v>
      </c>
      <c r="CN11">
        <v>99</v>
      </c>
      <c r="CO11">
        <v>102</v>
      </c>
      <c r="CP11">
        <v>105</v>
      </c>
      <c r="CQ11">
        <v>106</v>
      </c>
      <c r="CR11">
        <v>108</v>
      </c>
      <c r="CS11">
        <v>6.4896461280000004</v>
      </c>
      <c r="CT11">
        <v>120</v>
      </c>
      <c r="CU11">
        <v>105</v>
      </c>
      <c r="CV11">
        <v>4</v>
      </c>
      <c r="CW11">
        <v>53</v>
      </c>
      <c r="CX11">
        <v>3.6060443050000002</v>
      </c>
      <c r="CY11">
        <v>1.975552</v>
      </c>
      <c r="CZ11">
        <v>3.4125874129999998</v>
      </c>
      <c r="DA11">
        <v>6.2793111999999998E-2</v>
      </c>
      <c r="DB11">
        <v>1.9230769000000002E-2</v>
      </c>
      <c r="DC11">
        <v>1.1229512909999999</v>
      </c>
      <c r="DD11">
        <v>3.7303634410000002</v>
      </c>
      <c r="DE11">
        <v>1033.4965030000001</v>
      </c>
      <c r="DF11">
        <v>9.7657587000000004E-2</v>
      </c>
      <c r="DG11">
        <v>2.6132742E-2</v>
      </c>
      <c r="DH11">
        <v>7.5</v>
      </c>
      <c r="DI11">
        <v>104</v>
      </c>
      <c r="DJ11">
        <v>-6</v>
      </c>
      <c r="DK11">
        <v>107</v>
      </c>
      <c r="DL11" t="s">
        <v>194</v>
      </c>
      <c r="DM11" t="s">
        <v>194</v>
      </c>
      <c r="DN11" t="s">
        <v>194</v>
      </c>
      <c r="DO11" t="s">
        <v>194</v>
      </c>
      <c r="DP11" t="s">
        <v>194</v>
      </c>
      <c r="DQ11" t="s">
        <v>356</v>
      </c>
      <c r="DR11" t="s">
        <v>357</v>
      </c>
      <c r="DS11" t="s">
        <v>358</v>
      </c>
      <c r="DT11" t="s">
        <v>359</v>
      </c>
      <c r="DU11" t="s">
        <v>353</v>
      </c>
      <c r="DV11" t="s">
        <v>354</v>
      </c>
      <c r="DW11" t="s">
        <v>360</v>
      </c>
      <c r="DX11">
        <v>4.6843177E-2</v>
      </c>
      <c r="DY11">
        <v>103.7199593</v>
      </c>
      <c r="DZ11">
        <v>22.88186232</v>
      </c>
      <c r="EA11">
        <v>6.383393023</v>
      </c>
      <c r="EB11">
        <v>1.9215927740000001</v>
      </c>
      <c r="EC11">
        <v>2.2464358450000002</v>
      </c>
      <c r="ED11">
        <v>12.98407589</v>
      </c>
      <c r="EE11">
        <v>6.383393023</v>
      </c>
      <c r="EF11">
        <v>207.4399185</v>
      </c>
      <c r="EG11">
        <v>0</v>
      </c>
      <c r="EH11">
        <v>0</v>
      </c>
      <c r="EI11">
        <v>1.8846363000000001E-2</v>
      </c>
      <c r="EJ11">
        <v>18.0305499</v>
      </c>
      <c r="EK11">
        <v>2.2464358450000002</v>
      </c>
      <c r="EL11">
        <v>0.49750033199999999</v>
      </c>
      <c r="EM11">
        <v>0.96317551199999996</v>
      </c>
      <c r="EN11">
        <v>0.44012128299999997</v>
      </c>
      <c r="EO11">
        <v>0.99451618900000005</v>
      </c>
      <c r="EP11">
        <v>0</v>
      </c>
      <c r="EQ11">
        <v>0.60600781400000003</v>
      </c>
      <c r="ER11">
        <v>10771.696540000001</v>
      </c>
      <c r="ES11">
        <v>0</v>
      </c>
      <c r="ET11">
        <v>-1995.0749350000001</v>
      </c>
      <c r="EU11">
        <v>121198.78049999999</v>
      </c>
      <c r="EV11">
        <v>0.85817595499999999</v>
      </c>
      <c r="EW11">
        <v>1.817996226</v>
      </c>
      <c r="EX11" s="2">
        <v>9.6100000000000005E-5</v>
      </c>
      <c r="EY11">
        <v>10674.130450000001</v>
      </c>
      <c r="EZ11" s="2">
        <v>8.3100000000000001E-5</v>
      </c>
      <c r="FA11">
        <v>9122.8792379999995</v>
      </c>
      <c r="FB11" s="2">
        <v>1.7100000000000001E-4</v>
      </c>
      <c r="FC11">
        <v>19617.48878</v>
      </c>
      <c r="FD11">
        <v>10.46710015</v>
      </c>
      <c r="FE11">
        <v>80.947060570000005</v>
      </c>
      <c r="FF11">
        <v>0.81468531499999997</v>
      </c>
      <c r="FG11">
        <v>6.1763626000000002E-2</v>
      </c>
      <c r="FH11">
        <v>0.29127399199999998</v>
      </c>
      <c r="FI11">
        <v>5.9089759999999998E-3</v>
      </c>
      <c r="FJ11">
        <v>679.26701830000002</v>
      </c>
      <c r="FK11">
        <v>48.916878099999998</v>
      </c>
      <c r="FL11">
        <v>0.61769152800000005</v>
      </c>
      <c r="FM11">
        <v>8.1641791040000005</v>
      </c>
      <c r="FN11" s="2">
        <v>9.8999999999999994E-5</v>
      </c>
      <c r="FO11">
        <v>10524.31343</v>
      </c>
      <c r="FP11" s="2">
        <v>6.3800000000000006E-5</v>
      </c>
      <c r="FQ11">
        <v>6368.1112830000002</v>
      </c>
      <c r="FR11" s="2">
        <v>7.5699999999999997E-4</v>
      </c>
      <c r="FS11">
        <v>88699.53731</v>
      </c>
      <c r="FT11">
        <v>5.0597014930000004</v>
      </c>
      <c r="FU11">
        <v>7.5517932999999995E-2</v>
      </c>
      <c r="FV11">
        <v>24.01492537</v>
      </c>
      <c r="FW11">
        <v>0.35843172200000001</v>
      </c>
      <c r="FX11">
        <v>0.46853146899999998</v>
      </c>
      <c r="FY11">
        <v>80.693695700000006</v>
      </c>
      <c r="FZ11">
        <v>3.6088215639999999</v>
      </c>
      <c r="GA11">
        <v>5.1852003839999998</v>
      </c>
    </row>
    <row r="12" spans="1:183" x14ac:dyDescent="0.2">
      <c r="A12" t="s">
        <v>2450</v>
      </c>
      <c r="B12" t="s">
        <v>182</v>
      </c>
      <c r="C12" t="s">
        <v>361</v>
      </c>
      <c r="D12" s="1">
        <v>42954</v>
      </c>
      <c r="E12" t="s">
        <v>362</v>
      </c>
      <c r="F12" t="s">
        <v>185</v>
      </c>
      <c r="G12" t="s">
        <v>186</v>
      </c>
      <c r="H12">
        <v>1</v>
      </c>
      <c r="I12">
        <v>400</v>
      </c>
      <c r="J12">
        <v>10</v>
      </c>
      <c r="K12" t="s">
        <v>187</v>
      </c>
      <c r="L12" t="s">
        <v>363</v>
      </c>
      <c r="M12">
        <v>5</v>
      </c>
      <c r="N12">
        <v>0.671875</v>
      </c>
      <c r="O12">
        <v>0.671875</v>
      </c>
      <c r="P12" t="s">
        <v>364</v>
      </c>
      <c r="Q12">
        <v>0</v>
      </c>
      <c r="R12" t="s">
        <v>194</v>
      </c>
      <c r="T12">
        <v>18396.143090000001</v>
      </c>
      <c r="U12">
        <v>18614.1394</v>
      </c>
      <c r="V12">
        <v>8247</v>
      </c>
      <c r="W12">
        <v>6593.994987</v>
      </c>
      <c r="X12">
        <v>0.35844442799999998</v>
      </c>
      <c r="Y12">
        <v>29.106912479999998</v>
      </c>
      <c r="Z12">
        <v>1.9383353999999998E-2</v>
      </c>
      <c r="AA12">
        <v>0.13349349199999999</v>
      </c>
      <c r="AB12">
        <v>1.956650698</v>
      </c>
      <c r="AC12">
        <v>0.51107742499999997</v>
      </c>
      <c r="AD12">
        <v>0.95665069800000002</v>
      </c>
      <c r="AE12" t="s">
        <v>365</v>
      </c>
      <c r="AF12" t="s">
        <v>366</v>
      </c>
      <c r="AG12" t="s">
        <v>367</v>
      </c>
      <c r="AH12" t="s">
        <v>193</v>
      </c>
      <c r="AI12" t="s">
        <v>193</v>
      </c>
      <c r="AJ12" t="s">
        <v>193</v>
      </c>
      <c r="AK12" t="s">
        <v>193</v>
      </c>
      <c r="AL12" t="s">
        <v>193</v>
      </c>
      <c r="AM12" t="s">
        <v>193</v>
      </c>
      <c r="AN12" t="s">
        <v>193</v>
      </c>
      <c r="AO12" t="s">
        <v>193</v>
      </c>
      <c r="AP12" t="s">
        <v>193</v>
      </c>
      <c r="AQ12">
        <v>0.26610042099999998</v>
      </c>
      <c r="AR12" t="s">
        <v>193</v>
      </c>
      <c r="AS12" t="s">
        <v>193</v>
      </c>
      <c r="AT12">
        <v>77.442551320000007</v>
      </c>
      <c r="AU12" t="s">
        <v>193</v>
      </c>
      <c r="AV12">
        <v>9714098.1909999996</v>
      </c>
      <c r="AW12">
        <v>62.050806350000002</v>
      </c>
      <c r="AX12">
        <v>4101.1994320000003</v>
      </c>
      <c r="AY12">
        <v>-2.4960369600000001</v>
      </c>
      <c r="AZ12">
        <v>11.93391956</v>
      </c>
      <c r="BA12">
        <v>71</v>
      </c>
      <c r="BB12">
        <v>-466</v>
      </c>
      <c r="BC12">
        <v>5</v>
      </c>
      <c r="BD12">
        <v>47</v>
      </c>
      <c r="BE12">
        <v>71</v>
      </c>
      <c r="BF12">
        <v>94</v>
      </c>
      <c r="BG12">
        <v>119</v>
      </c>
      <c r="BH12">
        <v>64.040607679999994</v>
      </c>
      <c r="BI12">
        <v>486</v>
      </c>
      <c r="BJ12">
        <v>47</v>
      </c>
      <c r="BK12">
        <v>952</v>
      </c>
      <c r="BL12">
        <v>39.711364369999998</v>
      </c>
      <c r="BM12">
        <v>20.80678687</v>
      </c>
      <c r="BN12">
        <v>38.854856310000002</v>
      </c>
      <c r="BO12">
        <v>1.032067292</v>
      </c>
      <c r="BP12">
        <v>0.33333333300000001</v>
      </c>
      <c r="BQ12" t="s">
        <v>194</v>
      </c>
      <c r="BR12" s="2">
        <v>65600000</v>
      </c>
      <c r="BS12">
        <v>89.171194900000003</v>
      </c>
      <c r="BT12">
        <v>1155.0223599999999</v>
      </c>
      <c r="BU12">
        <v>10230.591630000001</v>
      </c>
      <c r="BV12">
        <v>0.53041381799999998</v>
      </c>
      <c r="BW12">
        <v>93.425529479999994</v>
      </c>
      <c r="BX12">
        <v>1.063084717</v>
      </c>
      <c r="BY12">
        <v>94.658172609999994</v>
      </c>
      <c r="BZ12" t="s">
        <v>194</v>
      </c>
      <c r="CA12" t="s">
        <v>368</v>
      </c>
      <c r="CB12" t="s">
        <v>369</v>
      </c>
      <c r="CC12" t="s">
        <v>370</v>
      </c>
      <c r="CD12" t="s">
        <v>371</v>
      </c>
      <c r="CE12" t="s">
        <v>372</v>
      </c>
      <c r="CF12" t="s">
        <v>373</v>
      </c>
      <c r="CG12" t="s">
        <v>374</v>
      </c>
      <c r="CH12">
        <v>106.75336489999999</v>
      </c>
      <c r="CI12">
        <v>41.048665470000003</v>
      </c>
      <c r="CJ12">
        <v>-2.4888380309999998</v>
      </c>
      <c r="CK12">
        <v>11.86773148</v>
      </c>
      <c r="CL12">
        <v>108</v>
      </c>
      <c r="CM12">
        <v>54</v>
      </c>
      <c r="CN12">
        <v>101</v>
      </c>
      <c r="CO12">
        <v>105</v>
      </c>
      <c r="CP12">
        <v>108</v>
      </c>
      <c r="CQ12">
        <v>110</v>
      </c>
      <c r="CR12">
        <v>112</v>
      </c>
      <c r="CS12">
        <v>6.4069232449999998</v>
      </c>
      <c r="CT12">
        <v>149</v>
      </c>
      <c r="CU12">
        <v>108</v>
      </c>
      <c r="CV12">
        <v>5</v>
      </c>
      <c r="CW12">
        <v>95</v>
      </c>
      <c r="CX12">
        <v>3.9815539700000002</v>
      </c>
      <c r="CY12">
        <v>2.1357352089999999</v>
      </c>
      <c r="CZ12">
        <v>3.8922032249999998</v>
      </c>
      <c r="DA12">
        <v>6.0016124999999997E-2</v>
      </c>
      <c r="DB12">
        <v>2.3255814E-2</v>
      </c>
      <c r="DC12">
        <v>1.292319325</v>
      </c>
      <c r="DD12">
        <v>4.292991872</v>
      </c>
      <c r="DE12">
        <v>1067.533649</v>
      </c>
      <c r="DF12">
        <v>7.1998211000000006E-2</v>
      </c>
      <c r="DG12">
        <v>2.9546960000000001E-3</v>
      </c>
      <c r="DH12">
        <v>237</v>
      </c>
      <c r="DI12">
        <v>105</v>
      </c>
      <c r="DJ12">
        <v>-184</v>
      </c>
      <c r="DK12">
        <v>110</v>
      </c>
      <c r="DL12">
        <v>0.53041381799999998</v>
      </c>
      <c r="DM12">
        <v>93.425529479999994</v>
      </c>
      <c r="DN12">
        <v>1.063084717</v>
      </c>
      <c r="DO12">
        <v>94.658172609999994</v>
      </c>
      <c r="DP12" t="s">
        <v>194</v>
      </c>
      <c r="DQ12" t="s">
        <v>375</v>
      </c>
      <c r="DR12" t="s">
        <v>376</v>
      </c>
      <c r="DS12" t="s">
        <v>377</v>
      </c>
      <c r="DT12" t="s">
        <v>378</v>
      </c>
      <c r="DU12" t="s">
        <v>372</v>
      </c>
      <c r="DV12" t="s">
        <v>373</v>
      </c>
      <c r="DW12" t="s">
        <v>379</v>
      </c>
      <c r="DX12">
        <v>2.6128148E-2</v>
      </c>
      <c r="DY12">
        <v>107.05729719999999</v>
      </c>
      <c r="DZ12">
        <v>28.452248340000001</v>
      </c>
      <c r="EA12">
        <v>7.840477989</v>
      </c>
      <c r="EB12">
        <v>2.360219055</v>
      </c>
      <c r="EC12">
        <v>3.3874951950000001</v>
      </c>
      <c r="ED12">
        <v>22.63364232</v>
      </c>
      <c r="EE12">
        <v>7.840477989</v>
      </c>
      <c r="EF12">
        <v>214.11459429999999</v>
      </c>
      <c r="EG12">
        <v>35.343419400000002</v>
      </c>
      <c r="EH12">
        <v>0.39868160200000002</v>
      </c>
      <c r="EI12">
        <v>9.4526969999999995E-3</v>
      </c>
      <c r="EJ12">
        <v>34.108766009999997</v>
      </c>
      <c r="EK12">
        <v>3.3874951950000001</v>
      </c>
      <c r="EL12">
        <v>0.43045309199999998</v>
      </c>
      <c r="EM12">
        <v>0.96783759599999997</v>
      </c>
      <c r="EN12">
        <v>0.363022764</v>
      </c>
      <c r="EO12">
        <v>0.99648123200000005</v>
      </c>
      <c r="EP12">
        <v>0</v>
      </c>
      <c r="EQ12">
        <v>0.40059629699999999</v>
      </c>
      <c r="ER12">
        <v>11472.66274</v>
      </c>
      <c r="ES12">
        <v>35.343419400000002</v>
      </c>
      <c r="ET12">
        <v>-1476.6109269999999</v>
      </c>
      <c r="EU12">
        <v>87991.789069999999</v>
      </c>
      <c r="EV12">
        <v>0.89796360500000005</v>
      </c>
      <c r="EW12">
        <v>1.6836268210000001</v>
      </c>
      <c r="EX12" s="2">
        <v>8.9499999999999994E-5</v>
      </c>
      <c r="EY12">
        <v>11398.450279999999</v>
      </c>
      <c r="EZ12" s="2">
        <v>8.0699999999999996E-5</v>
      </c>
      <c r="FA12">
        <v>10210.32933</v>
      </c>
      <c r="FB12" s="2">
        <v>1.4799999999999999E-4</v>
      </c>
      <c r="FC12">
        <v>19371.704689999999</v>
      </c>
      <c r="FD12">
        <v>484.85574079999998</v>
      </c>
      <c r="FE12">
        <v>5685.3144140000004</v>
      </c>
      <c r="FF12">
        <v>0.86337222899999999</v>
      </c>
      <c r="FG12" s="2">
        <v>9.1200000000000005E-4</v>
      </c>
      <c r="FH12">
        <v>4.4728734999999999E-2</v>
      </c>
      <c r="FI12">
        <v>8.8666212999999994E-2</v>
      </c>
      <c r="FJ12">
        <v>7314.4220249999998</v>
      </c>
      <c r="FK12">
        <v>4.3580844540000001</v>
      </c>
      <c r="FL12">
        <v>0.64922253100000005</v>
      </c>
      <c r="FM12">
        <v>878.36275069999999</v>
      </c>
      <c r="FN12" s="2">
        <v>9.9099999999999996E-5</v>
      </c>
      <c r="FO12">
        <v>10642.08424</v>
      </c>
      <c r="FP12" s="2">
        <v>6.7700000000000006E-5</v>
      </c>
      <c r="FQ12">
        <v>6652.8945450000001</v>
      </c>
      <c r="FR12">
        <v>7.6357077999999995E-2</v>
      </c>
      <c r="FS12" s="2">
        <v>10100000</v>
      </c>
      <c r="FT12">
        <v>59.176504299999998</v>
      </c>
      <c r="FU12">
        <v>3.3912036999999999E-2</v>
      </c>
      <c r="FV12">
        <v>680.03495699999996</v>
      </c>
      <c r="FW12">
        <v>0.38970484599999999</v>
      </c>
      <c r="FX12">
        <v>0.21159209400000001</v>
      </c>
      <c r="FY12">
        <v>114.6186701</v>
      </c>
      <c r="FZ12">
        <v>856.02697060000003</v>
      </c>
      <c r="GA12">
        <v>7.1559413430000003</v>
      </c>
    </row>
    <row r="13" spans="1:183" x14ac:dyDescent="0.2">
      <c r="A13" t="s">
        <v>2451</v>
      </c>
      <c r="B13" t="s">
        <v>182</v>
      </c>
      <c r="C13" t="s">
        <v>380</v>
      </c>
      <c r="D13" s="1">
        <v>43050</v>
      </c>
      <c r="E13" t="s">
        <v>381</v>
      </c>
      <c r="F13" t="s">
        <v>185</v>
      </c>
      <c r="G13" t="s">
        <v>186</v>
      </c>
      <c r="H13">
        <v>1</v>
      </c>
      <c r="I13">
        <v>400</v>
      </c>
      <c r="J13">
        <v>10</v>
      </c>
      <c r="K13" t="s">
        <v>187</v>
      </c>
      <c r="L13" t="s">
        <v>382</v>
      </c>
      <c r="M13">
        <v>5</v>
      </c>
      <c r="N13">
        <v>0.62109375</v>
      </c>
      <c r="O13">
        <v>0.62109375</v>
      </c>
      <c r="P13" t="s">
        <v>383</v>
      </c>
      <c r="Q13">
        <v>0</v>
      </c>
      <c r="R13" t="s">
        <v>194</v>
      </c>
      <c r="T13">
        <v>6613.2488540000004</v>
      </c>
      <c r="U13">
        <v>6681.3189700000003</v>
      </c>
      <c r="V13">
        <v>3464</v>
      </c>
      <c r="W13">
        <v>3386.7132409999999</v>
      </c>
      <c r="X13">
        <v>0.51211035800000004</v>
      </c>
      <c r="Y13">
        <v>29.80250526</v>
      </c>
      <c r="Z13">
        <v>1.8930945000000001E-2</v>
      </c>
      <c r="AA13">
        <v>0.12733471699999999</v>
      </c>
      <c r="AB13">
        <v>1.9877010070000001</v>
      </c>
      <c r="AC13">
        <v>0.50309377300000002</v>
      </c>
      <c r="AD13">
        <v>0.98770100699999996</v>
      </c>
      <c r="AE13" t="s">
        <v>384</v>
      </c>
      <c r="AF13" t="s">
        <v>385</v>
      </c>
      <c r="AG13" t="s">
        <v>386</v>
      </c>
      <c r="AH13" t="s">
        <v>193</v>
      </c>
      <c r="AI13" t="s">
        <v>193</v>
      </c>
      <c r="AJ13" t="s">
        <v>193</v>
      </c>
      <c r="AK13" t="s">
        <v>193</v>
      </c>
      <c r="AL13" t="s">
        <v>193</v>
      </c>
      <c r="AM13" t="s">
        <v>193</v>
      </c>
      <c r="AN13" t="s">
        <v>193</v>
      </c>
      <c r="AO13" t="s">
        <v>193</v>
      </c>
      <c r="AP13" t="s">
        <v>193</v>
      </c>
      <c r="AQ13">
        <v>3.1530070339999998</v>
      </c>
      <c r="AR13" t="s">
        <v>193</v>
      </c>
      <c r="AS13" t="s">
        <v>193</v>
      </c>
      <c r="AT13">
        <v>34.645521670000001</v>
      </c>
      <c r="AU13" t="s">
        <v>193</v>
      </c>
      <c r="AV13">
        <v>71199.336819999997</v>
      </c>
      <c r="AW13">
        <v>10.76616628</v>
      </c>
      <c r="AX13">
        <v>10791.08331</v>
      </c>
      <c r="AY13">
        <v>-2.1498040459999999</v>
      </c>
      <c r="AZ13">
        <v>5.8401063510000002</v>
      </c>
      <c r="BA13">
        <v>48</v>
      </c>
      <c r="BB13">
        <v>-744</v>
      </c>
      <c r="BC13">
        <v>-127</v>
      </c>
      <c r="BD13">
        <v>-15</v>
      </c>
      <c r="BE13">
        <v>48</v>
      </c>
      <c r="BF13">
        <v>74</v>
      </c>
      <c r="BG13">
        <v>94</v>
      </c>
      <c r="BH13">
        <v>103.8801392</v>
      </c>
      <c r="BI13">
        <v>155</v>
      </c>
      <c r="BJ13">
        <v>89</v>
      </c>
      <c r="BK13">
        <v>899</v>
      </c>
      <c r="BL13">
        <v>74.231818270000005</v>
      </c>
      <c r="BM13">
        <v>42.788001190000003</v>
      </c>
      <c r="BN13">
        <v>66.525404159999994</v>
      </c>
      <c r="BO13">
        <v>9.648758569</v>
      </c>
      <c r="BP13">
        <v>1.508474576</v>
      </c>
      <c r="BQ13" t="s">
        <v>194</v>
      </c>
      <c r="BR13" s="2">
        <v>37800000</v>
      </c>
      <c r="BS13">
        <v>104.43655320000001</v>
      </c>
      <c r="BT13">
        <v>71.932191009999997</v>
      </c>
      <c r="BU13">
        <v>1796.9867710000001</v>
      </c>
      <c r="BV13">
        <v>0.50727105699999997</v>
      </c>
      <c r="BW13" t="s">
        <v>194</v>
      </c>
      <c r="BX13">
        <v>1.008755737</v>
      </c>
      <c r="BY13" t="s">
        <v>194</v>
      </c>
      <c r="BZ13">
        <v>34.899696349999999</v>
      </c>
      <c r="CA13" t="s">
        <v>387</v>
      </c>
      <c r="CB13" t="s">
        <v>388</v>
      </c>
      <c r="CC13" t="s">
        <v>389</v>
      </c>
      <c r="CD13" t="s">
        <v>390</v>
      </c>
      <c r="CE13" t="s">
        <v>391</v>
      </c>
      <c r="CF13" t="s">
        <v>392</v>
      </c>
      <c r="CG13" t="s">
        <v>393</v>
      </c>
      <c r="CH13">
        <v>101.6273095</v>
      </c>
      <c r="CI13">
        <v>108.01901169999999</v>
      </c>
      <c r="CJ13">
        <v>-2.1482966870000002</v>
      </c>
      <c r="CK13">
        <v>5.8427893940000004</v>
      </c>
      <c r="CL13">
        <v>105</v>
      </c>
      <c r="CM13">
        <v>26</v>
      </c>
      <c r="CN13">
        <v>88</v>
      </c>
      <c r="CO13">
        <v>99</v>
      </c>
      <c r="CP13">
        <v>105</v>
      </c>
      <c r="CQ13">
        <v>108</v>
      </c>
      <c r="CR13">
        <v>110</v>
      </c>
      <c r="CS13">
        <v>10.39321951</v>
      </c>
      <c r="CT13">
        <v>116</v>
      </c>
      <c r="CU13">
        <v>108</v>
      </c>
      <c r="CV13">
        <v>9</v>
      </c>
      <c r="CW13">
        <v>90</v>
      </c>
      <c r="CX13">
        <v>7.4281464509999999</v>
      </c>
      <c r="CY13">
        <v>4.358740858</v>
      </c>
      <c r="CZ13">
        <v>6.6556004619999998</v>
      </c>
      <c r="DA13">
        <v>0.10226797899999999</v>
      </c>
      <c r="DB13">
        <v>4.3478260999999997E-2</v>
      </c>
      <c r="DC13">
        <v>1.445356608</v>
      </c>
      <c r="DD13">
        <v>4.8013707219999997</v>
      </c>
      <c r="DE13">
        <v>1016.273095</v>
      </c>
      <c r="DF13">
        <v>5.2677924000000001E-2</v>
      </c>
      <c r="DG13">
        <v>3.8996479999999999E-3</v>
      </c>
      <c r="DH13">
        <v>66.5</v>
      </c>
      <c r="DI13">
        <v>105</v>
      </c>
      <c r="DJ13">
        <v>-69</v>
      </c>
      <c r="DK13">
        <v>110</v>
      </c>
      <c r="DL13">
        <v>0.50727105699999997</v>
      </c>
      <c r="DM13" t="s">
        <v>194</v>
      </c>
      <c r="DN13">
        <v>1.008755737</v>
      </c>
      <c r="DO13" t="s">
        <v>194</v>
      </c>
      <c r="DP13">
        <v>34.899696349999999</v>
      </c>
      <c r="DQ13" t="s">
        <v>394</v>
      </c>
      <c r="DR13" t="s">
        <v>395</v>
      </c>
      <c r="DS13" t="s">
        <v>396</v>
      </c>
      <c r="DT13" t="s">
        <v>397</v>
      </c>
      <c r="DU13" t="s">
        <v>391</v>
      </c>
      <c r="DV13" t="s">
        <v>392</v>
      </c>
      <c r="DW13" t="s">
        <v>398</v>
      </c>
      <c r="DX13">
        <v>2.2527581000000001E-2</v>
      </c>
      <c r="DY13">
        <v>103.3907148</v>
      </c>
      <c r="DZ13">
        <v>78.333584259999995</v>
      </c>
      <c r="EA13">
        <v>8.855762511</v>
      </c>
      <c r="EB13">
        <v>2.6658501499999998</v>
      </c>
      <c r="EC13">
        <v>5.7145735609999999</v>
      </c>
      <c r="ED13">
        <v>51.929861600000002</v>
      </c>
      <c r="EE13">
        <v>8.855762511</v>
      </c>
      <c r="EF13">
        <v>206.7814296</v>
      </c>
      <c r="EG13">
        <v>141.764871</v>
      </c>
      <c r="EH13">
        <v>1.0627885610000001</v>
      </c>
      <c r="EI13">
        <v>5.5047230000000004E-3</v>
      </c>
      <c r="EJ13">
        <v>84.586212590000002</v>
      </c>
      <c r="EK13">
        <v>5.7145735609999999</v>
      </c>
      <c r="EL13">
        <v>0.33639299700000003</v>
      </c>
      <c r="EM13">
        <v>0.94541857600000001</v>
      </c>
      <c r="EN13">
        <v>0.26143286399999999</v>
      </c>
      <c r="EO13">
        <v>0.990548714</v>
      </c>
      <c r="EP13" s="2">
        <v>6.5199999999999996E-7</v>
      </c>
      <c r="EQ13">
        <v>0.46008973399999997</v>
      </c>
      <c r="ER13">
        <v>10725.68039</v>
      </c>
      <c r="ES13">
        <v>141.764871</v>
      </c>
      <c r="ET13">
        <v>-7480.9797140000001</v>
      </c>
      <c r="EU13">
        <v>492020.60330000002</v>
      </c>
      <c r="EV13">
        <v>0.94301109800000005</v>
      </c>
      <c r="EW13">
        <v>1.3221964100000001</v>
      </c>
      <c r="EX13" s="2">
        <v>1.03E-4</v>
      </c>
      <c r="EY13">
        <v>10349.547210000001</v>
      </c>
      <c r="EZ13" s="2">
        <v>9.8099999999999999E-5</v>
      </c>
      <c r="FA13">
        <v>9701.9119370000008</v>
      </c>
      <c r="FB13" s="2">
        <v>1.3200000000000001E-4</v>
      </c>
      <c r="FC13">
        <v>14025.511</v>
      </c>
      <c r="FD13">
        <v>158.4680152</v>
      </c>
      <c r="FE13">
        <v>2787.4624979999999</v>
      </c>
      <c r="FF13">
        <v>0.92114496400000001</v>
      </c>
      <c r="FG13">
        <v>1.923602E-3</v>
      </c>
      <c r="FH13">
        <v>0.188753382</v>
      </c>
      <c r="FI13">
        <v>4.8060237999999998E-2</v>
      </c>
      <c r="FJ13">
        <v>12266.43111</v>
      </c>
      <c r="FK13">
        <v>9.85635759</v>
      </c>
      <c r="FL13">
        <v>0.74455543800000001</v>
      </c>
      <c r="FM13">
        <v>47.628726290000003</v>
      </c>
      <c r="FN13" s="2">
        <v>1.18E-4</v>
      </c>
      <c r="FO13">
        <v>9339.0121949999993</v>
      </c>
      <c r="FP13" s="2">
        <v>9.3499999999999996E-5</v>
      </c>
      <c r="FQ13">
        <v>6626.602132</v>
      </c>
      <c r="FR13">
        <v>4.1574840000000004E-3</v>
      </c>
      <c r="FS13">
        <v>548626.14159999997</v>
      </c>
      <c r="FT13">
        <v>43.196476959999998</v>
      </c>
      <c r="FU13">
        <v>2.9265906000000001E-2</v>
      </c>
      <c r="FV13">
        <v>759.04336039999998</v>
      </c>
      <c r="FW13">
        <v>0.51425701899999998</v>
      </c>
      <c r="FX13">
        <v>0.426096998</v>
      </c>
      <c r="FY13">
        <v>160.43753720000001</v>
      </c>
      <c r="FZ13">
        <v>42.120864269999998</v>
      </c>
      <c r="GA13">
        <v>6.7626616799999999</v>
      </c>
    </row>
    <row r="14" spans="1:183" x14ac:dyDescent="0.2">
      <c r="A14" t="s">
        <v>2452</v>
      </c>
      <c r="B14" t="s">
        <v>182</v>
      </c>
      <c r="C14" t="s">
        <v>399</v>
      </c>
      <c r="D14" s="1">
        <v>43208</v>
      </c>
      <c r="E14" t="s">
        <v>400</v>
      </c>
      <c r="F14" t="s">
        <v>185</v>
      </c>
      <c r="G14" t="s">
        <v>186</v>
      </c>
      <c r="H14">
        <v>1</v>
      </c>
      <c r="I14">
        <v>400</v>
      </c>
      <c r="J14">
        <v>10</v>
      </c>
      <c r="K14" t="s">
        <v>187</v>
      </c>
      <c r="L14" t="s">
        <v>401</v>
      </c>
      <c r="M14">
        <v>3</v>
      </c>
      <c r="N14">
        <v>0.576171875</v>
      </c>
      <c r="O14">
        <v>0.576171875</v>
      </c>
      <c r="P14" t="s">
        <v>402</v>
      </c>
      <c r="Q14">
        <v>0</v>
      </c>
      <c r="R14" t="s">
        <v>194</v>
      </c>
      <c r="T14">
        <v>24533.461739999999</v>
      </c>
      <c r="U14">
        <v>24733.72507</v>
      </c>
      <c r="V14">
        <v>24835</v>
      </c>
      <c r="W14">
        <v>10202.3477</v>
      </c>
      <c r="X14">
        <v>0.41585438699999999</v>
      </c>
      <c r="Y14">
        <v>42.004067499999998</v>
      </c>
      <c r="Z14">
        <v>1.3431785E-2</v>
      </c>
      <c r="AA14">
        <v>6.4101719000000001E-2</v>
      </c>
      <c r="AB14">
        <v>2.498676932</v>
      </c>
      <c r="AC14">
        <v>0.40021180299999998</v>
      </c>
      <c r="AD14">
        <v>1.498676932</v>
      </c>
      <c r="AE14" t="s">
        <v>403</v>
      </c>
      <c r="AF14" t="s">
        <v>404</v>
      </c>
      <c r="AG14" t="s">
        <v>405</v>
      </c>
      <c r="AH14" t="s">
        <v>193</v>
      </c>
      <c r="AI14" t="s">
        <v>193</v>
      </c>
      <c r="AJ14" t="s">
        <v>193</v>
      </c>
      <c r="AK14" t="s">
        <v>193</v>
      </c>
      <c r="AL14" t="s">
        <v>193</v>
      </c>
      <c r="AM14" t="s">
        <v>193</v>
      </c>
      <c r="AN14" t="s">
        <v>193</v>
      </c>
      <c r="AO14" t="s">
        <v>193</v>
      </c>
      <c r="AP14" t="s">
        <v>193</v>
      </c>
      <c r="AQ14">
        <v>0.120022649</v>
      </c>
      <c r="AR14" t="s">
        <v>193</v>
      </c>
      <c r="AS14" t="s">
        <v>193</v>
      </c>
      <c r="AT14">
        <v>98.84610078</v>
      </c>
      <c r="AU14" t="s">
        <v>193</v>
      </c>
      <c r="AV14" s="2">
        <v>18100000</v>
      </c>
      <c r="AW14">
        <v>34.397785380000002</v>
      </c>
      <c r="AX14">
        <v>2205.5646179999999</v>
      </c>
      <c r="AY14">
        <v>-3.981623693</v>
      </c>
      <c r="AZ14">
        <v>38.065446899999998</v>
      </c>
      <c r="BA14">
        <v>38</v>
      </c>
      <c r="BB14">
        <v>-703</v>
      </c>
      <c r="BC14">
        <v>5</v>
      </c>
      <c r="BD14">
        <v>24</v>
      </c>
      <c r="BE14">
        <v>38</v>
      </c>
      <c r="BF14">
        <v>52</v>
      </c>
      <c r="BG14">
        <v>69</v>
      </c>
      <c r="BH14">
        <v>46.96343916</v>
      </c>
      <c r="BI14">
        <v>499</v>
      </c>
      <c r="BJ14">
        <v>28</v>
      </c>
      <c r="BK14">
        <v>1202</v>
      </c>
      <c r="BL14">
        <v>24.89261072</v>
      </c>
      <c r="BM14">
        <v>12.31442835</v>
      </c>
      <c r="BN14">
        <v>24.672639419999999</v>
      </c>
      <c r="BO14">
        <v>1.3653041509999999</v>
      </c>
      <c r="BP14">
        <v>0.368421053</v>
      </c>
      <c r="BQ14" t="s">
        <v>194</v>
      </c>
      <c r="BR14" s="2">
        <v>84200000</v>
      </c>
      <c r="BS14">
        <v>58.213162230000002</v>
      </c>
      <c r="BT14">
        <v>850.78536670000005</v>
      </c>
      <c r="BU14">
        <v>8860.7188220000007</v>
      </c>
      <c r="BV14">
        <v>0.51289990200000002</v>
      </c>
      <c r="BW14">
        <v>57.246601099999999</v>
      </c>
      <c r="BX14">
        <v>1.028787476</v>
      </c>
      <c r="BY14">
        <v>48.575023649999999</v>
      </c>
      <c r="BZ14">
        <v>39.363239290000003</v>
      </c>
      <c r="CA14" t="s">
        <v>406</v>
      </c>
      <c r="CB14" t="s">
        <v>407</v>
      </c>
      <c r="CC14" t="s">
        <v>408</v>
      </c>
      <c r="CD14" t="s">
        <v>409</v>
      </c>
      <c r="CE14" t="s">
        <v>410</v>
      </c>
      <c r="CF14" t="s">
        <v>411</v>
      </c>
      <c r="CG14" t="s">
        <v>412</v>
      </c>
      <c r="CH14">
        <v>103.9894101</v>
      </c>
      <c r="CI14">
        <v>22.126443120000001</v>
      </c>
      <c r="CJ14">
        <v>-3.9585167810000002</v>
      </c>
      <c r="CK14">
        <v>37.751803330000001</v>
      </c>
      <c r="CL14">
        <v>104</v>
      </c>
      <c r="CM14">
        <v>30</v>
      </c>
      <c r="CN14">
        <v>101</v>
      </c>
      <c r="CO14">
        <v>103</v>
      </c>
      <c r="CP14">
        <v>104</v>
      </c>
      <c r="CQ14">
        <v>106</v>
      </c>
      <c r="CR14">
        <v>107</v>
      </c>
      <c r="CS14">
        <v>4.7038753299999998</v>
      </c>
      <c r="CT14">
        <v>150</v>
      </c>
      <c r="CU14">
        <v>104</v>
      </c>
      <c r="CV14">
        <v>3</v>
      </c>
      <c r="CW14">
        <v>120</v>
      </c>
      <c r="CX14">
        <v>2.4736843419999999</v>
      </c>
      <c r="CY14">
        <v>1.2952183399999999</v>
      </c>
      <c r="CZ14">
        <v>2.4703442720000002</v>
      </c>
      <c r="DA14">
        <v>4.5234176000000001E-2</v>
      </c>
      <c r="DB14">
        <v>1.4354067E-2</v>
      </c>
      <c r="DC14">
        <v>1.0915381580000001</v>
      </c>
      <c r="DD14">
        <v>3.6260112740000001</v>
      </c>
      <c r="DE14">
        <v>1039.8941010000001</v>
      </c>
      <c r="DF14">
        <v>0.119456572</v>
      </c>
      <c r="DG14">
        <v>2.1931730000000001E-3</v>
      </c>
      <c r="DH14">
        <v>1439.5</v>
      </c>
      <c r="DI14">
        <v>103</v>
      </c>
      <c r="DJ14">
        <v>-1291</v>
      </c>
      <c r="DK14">
        <v>106</v>
      </c>
      <c r="DL14">
        <v>0.51289990200000002</v>
      </c>
      <c r="DM14">
        <v>57.246601099999999</v>
      </c>
      <c r="DN14">
        <v>1.028787476</v>
      </c>
      <c r="DO14">
        <v>48.575023649999999</v>
      </c>
      <c r="DP14">
        <v>39.363239290000003</v>
      </c>
      <c r="DQ14" t="s">
        <v>413</v>
      </c>
      <c r="DR14" t="s">
        <v>414</v>
      </c>
      <c r="DS14" t="s">
        <v>415</v>
      </c>
      <c r="DT14" t="s">
        <v>416</v>
      </c>
      <c r="DU14" t="s">
        <v>410</v>
      </c>
      <c r="DV14" t="s">
        <v>411</v>
      </c>
      <c r="DW14" t="s">
        <v>417</v>
      </c>
      <c r="DX14">
        <v>6.0823787999999997E-2</v>
      </c>
      <c r="DY14">
        <v>104.1924023</v>
      </c>
      <c r="DZ14">
        <v>13.381944669999999</v>
      </c>
      <c r="EA14">
        <v>6.4497127289999998</v>
      </c>
      <c r="EB14">
        <v>1.941556995</v>
      </c>
      <c r="EC14">
        <v>1.899679895</v>
      </c>
      <c r="ED14">
        <v>8.9032221580000002</v>
      </c>
      <c r="EE14">
        <v>6.4497127289999998</v>
      </c>
      <c r="EF14">
        <v>208.38480469999999</v>
      </c>
      <c r="EG14">
        <v>40.61707329</v>
      </c>
      <c r="EH14">
        <v>6.4471877869999998</v>
      </c>
      <c r="EI14">
        <v>2.4311162000000001E-2</v>
      </c>
      <c r="EJ14">
        <v>12.51200586</v>
      </c>
      <c r="EK14">
        <v>1.899679895</v>
      </c>
      <c r="EL14">
        <v>0.52281499600000003</v>
      </c>
      <c r="EM14">
        <v>0.98505317199999998</v>
      </c>
      <c r="EN14">
        <v>0.47065838999999998</v>
      </c>
      <c r="EO14">
        <v>0.99917318899999996</v>
      </c>
      <c r="EP14" s="2">
        <v>3.5699999999999998E-7</v>
      </c>
      <c r="EQ14">
        <v>0.53250419999999998</v>
      </c>
      <c r="ER14">
        <v>10863.182640000001</v>
      </c>
      <c r="ES14">
        <v>40.61707329</v>
      </c>
      <c r="ET14">
        <v>-824.69251240000006</v>
      </c>
      <c r="EU14">
        <v>63186.224649999996</v>
      </c>
      <c r="EV14">
        <v>0.85636759100000004</v>
      </c>
      <c r="EW14">
        <v>1.942701061</v>
      </c>
      <c r="EX14" s="2">
        <v>9.3700000000000001E-5</v>
      </c>
      <c r="EY14">
        <v>10819.41527</v>
      </c>
      <c r="EZ14" s="2">
        <v>8.0500000000000005E-5</v>
      </c>
      <c r="FA14">
        <v>9253.1607910000002</v>
      </c>
      <c r="FB14" s="2">
        <v>1.8000000000000001E-4</v>
      </c>
      <c r="FC14">
        <v>21095.701639999999</v>
      </c>
      <c r="FD14">
        <v>2195.5968520000001</v>
      </c>
      <c r="FE14">
        <v>14126.784600000001</v>
      </c>
      <c r="FF14">
        <v>0.80882129700000005</v>
      </c>
      <c r="FG14" s="2">
        <v>3.6499999999999998E-4</v>
      </c>
      <c r="FH14">
        <v>8.3728099999999996E-3</v>
      </c>
      <c r="FI14">
        <v>0.16747273400000001</v>
      </c>
      <c r="FJ14">
        <v>6197.0872250000002</v>
      </c>
      <c r="FK14">
        <v>5.4011999389999996</v>
      </c>
      <c r="FL14">
        <v>0.666379728</v>
      </c>
      <c r="FM14">
        <v>11315.687900000001</v>
      </c>
      <c r="FN14" s="2">
        <v>1.03E-4</v>
      </c>
      <c r="FO14">
        <v>10358.47954</v>
      </c>
      <c r="FP14" s="2">
        <v>7.1600000000000006E-5</v>
      </c>
      <c r="FQ14">
        <v>6714.6548210000001</v>
      </c>
      <c r="FR14">
        <v>1.0364309629999999</v>
      </c>
      <c r="FS14" s="2">
        <v>124000000</v>
      </c>
      <c r="FT14">
        <v>138.96023049999999</v>
      </c>
      <c r="FU14">
        <v>4.0046176000000003E-2</v>
      </c>
      <c r="FV14">
        <v>1424.0259370000001</v>
      </c>
      <c r="FW14">
        <v>0.41038211400000002</v>
      </c>
      <c r="FX14">
        <v>0.13972216600000001</v>
      </c>
      <c r="FY14">
        <v>108.05497560000001</v>
      </c>
      <c r="FZ14">
        <v>11264.464379999999</v>
      </c>
      <c r="GA14">
        <v>7.0403842839999999</v>
      </c>
    </row>
    <row r="15" spans="1:183" x14ac:dyDescent="0.2">
      <c r="A15" t="s">
        <v>2453</v>
      </c>
      <c r="B15" t="s">
        <v>182</v>
      </c>
      <c r="C15" t="s">
        <v>418</v>
      </c>
      <c r="D15" s="1">
        <v>42206</v>
      </c>
      <c r="E15" t="s">
        <v>362</v>
      </c>
      <c r="F15" t="s">
        <v>185</v>
      </c>
      <c r="G15" t="s">
        <v>186</v>
      </c>
      <c r="H15">
        <v>1</v>
      </c>
      <c r="I15">
        <v>400</v>
      </c>
      <c r="J15">
        <v>10</v>
      </c>
      <c r="K15" t="s">
        <v>187</v>
      </c>
      <c r="L15" t="s">
        <v>419</v>
      </c>
      <c r="M15">
        <v>5</v>
      </c>
      <c r="N15">
        <v>0.6484375</v>
      </c>
      <c r="O15">
        <v>0.6484375</v>
      </c>
      <c r="P15" t="s">
        <v>420</v>
      </c>
      <c r="Q15">
        <v>0</v>
      </c>
      <c r="R15" t="s">
        <v>194</v>
      </c>
      <c r="T15">
        <v>81750.374179999999</v>
      </c>
      <c r="U15">
        <v>82210.527340000001</v>
      </c>
      <c r="V15">
        <v>39104</v>
      </c>
      <c r="W15">
        <v>22983.589909999999</v>
      </c>
      <c r="X15">
        <v>0.28114354400000002</v>
      </c>
      <c r="Y15">
        <v>42.622316230000003</v>
      </c>
      <c r="Z15">
        <v>1.3236952999999999E-2</v>
      </c>
      <c r="AA15">
        <v>6.2255578999999998E-2</v>
      </c>
      <c r="AB15">
        <v>2.5231354970000002</v>
      </c>
      <c r="AC15">
        <v>0.39633226300000002</v>
      </c>
      <c r="AD15">
        <v>1.5231354969999999</v>
      </c>
      <c r="AE15" t="s">
        <v>421</v>
      </c>
      <c r="AF15" t="s">
        <v>422</v>
      </c>
      <c r="AG15" t="s">
        <v>423</v>
      </c>
      <c r="AH15" t="s">
        <v>193</v>
      </c>
      <c r="AI15" t="s">
        <v>193</v>
      </c>
      <c r="AJ15" t="s">
        <v>193</v>
      </c>
      <c r="AK15" t="s">
        <v>193</v>
      </c>
      <c r="AL15" t="s">
        <v>193</v>
      </c>
      <c r="AM15" t="s">
        <v>193</v>
      </c>
      <c r="AN15" t="s">
        <v>193</v>
      </c>
      <c r="AO15" t="s">
        <v>193</v>
      </c>
      <c r="AP15" t="s">
        <v>193</v>
      </c>
      <c r="AQ15">
        <v>0.33086691099999999</v>
      </c>
      <c r="AR15" t="s">
        <v>193</v>
      </c>
      <c r="AS15" t="s">
        <v>193</v>
      </c>
      <c r="AT15">
        <v>125.4014069</v>
      </c>
      <c r="AU15" t="s">
        <v>193</v>
      </c>
      <c r="AV15" s="2">
        <v>59500000</v>
      </c>
      <c r="AW15">
        <v>64.347841650000007</v>
      </c>
      <c r="AX15">
        <v>2900.7823920000001</v>
      </c>
      <c r="AY15">
        <v>-3.744223635</v>
      </c>
      <c r="AZ15">
        <v>31.64119487</v>
      </c>
      <c r="BA15">
        <v>68</v>
      </c>
      <c r="BB15">
        <v>-664</v>
      </c>
      <c r="BC15">
        <v>23</v>
      </c>
      <c r="BD15">
        <v>45</v>
      </c>
      <c r="BE15">
        <v>68</v>
      </c>
      <c r="BF15">
        <v>91</v>
      </c>
      <c r="BG15">
        <v>113</v>
      </c>
      <c r="BH15">
        <v>53.858911910000003</v>
      </c>
      <c r="BI15">
        <v>441</v>
      </c>
      <c r="BJ15">
        <v>46</v>
      </c>
      <c r="BK15">
        <v>1105</v>
      </c>
      <c r="BL15">
        <v>32.56495159</v>
      </c>
      <c r="BM15">
        <v>19.39532122</v>
      </c>
      <c r="BN15">
        <v>32.429470129999999</v>
      </c>
      <c r="BO15">
        <v>0.83699640200000003</v>
      </c>
      <c r="BP15">
        <v>0.33823529400000002</v>
      </c>
      <c r="BQ15" t="s">
        <v>194</v>
      </c>
      <c r="BR15" s="2">
        <v>275000000</v>
      </c>
      <c r="BS15">
        <v>83.913211820000001</v>
      </c>
      <c r="BT15">
        <v>5290.0699960000002</v>
      </c>
      <c r="BU15">
        <v>54112.539980000001</v>
      </c>
      <c r="BV15">
        <v>0.53610076900000003</v>
      </c>
      <c r="BW15">
        <v>115.9686279</v>
      </c>
      <c r="BX15">
        <v>1.0238473509999999</v>
      </c>
      <c r="BY15">
        <v>103.0431213</v>
      </c>
      <c r="BZ15">
        <v>62.902984619999998</v>
      </c>
      <c r="CA15" t="s">
        <v>424</v>
      </c>
      <c r="CB15" t="s">
        <v>425</v>
      </c>
      <c r="CC15" t="s">
        <v>426</v>
      </c>
      <c r="CD15" t="s">
        <v>427</v>
      </c>
      <c r="CE15" t="s">
        <v>428</v>
      </c>
      <c r="CF15" t="s">
        <v>429</v>
      </c>
      <c r="CG15" t="s">
        <v>430</v>
      </c>
      <c r="CH15">
        <v>106.9834288</v>
      </c>
      <c r="CI15">
        <v>29.085956979999999</v>
      </c>
      <c r="CJ15">
        <v>-3.7261718039999998</v>
      </c>
      <c r="CK15">
        <v>31.420373550000001</v>
      </c>
      <c r="CL15">
        <v>107</v>
      </c>
      <c r="CM15">
        <v>34</v>
      </c>
      <c r="CN15">
        <v>103</v>
      </c>
      <c r="CO15">
        <v>105</v>
      </c>
      <c r="CP15">
        <v>107</v>
      </c>
      <c r="CQ15">
        <v>110</v>
      </c>
      <c r="CR15">
        <v>112</v>
      </c>
      <c r="CS15">
        <v>5.3931398069999998</v>
      </c>
      <c r="CT15">
        <v>145</v>
      </c>
      <c r="CU15">
        <v>107</v>
      </c>
      <c r="CV15">
        <v>5</v>
      </c>
      <c r="CW15">
        <v>111</v>
      </c>
      <c r="CX15">
        <v>3.2485743359999999</v>
      </c>
      <c r="CY15">
        <v>2.07626964</v>
      </c>
      <c r="CZ15">
        <v>3.2453968899999999</v>
      </c>
      <c r="DA15">
        <v>5.0410982999999999E-2</v>
      </c>
      <c r="DB15">
        <v>2.3255814E-2</v>
      </c>
      <c r="DC15">
        <v>1.217388393</v>
      </c>
      <c r="DD15">
        <v>4.0440767040000001</v>
      </c>
      <c r="DE15">
        <v>1069.834288</v>
      </c>
      <c r="DF15">
        <v>7.9179927999999997E-2</v>
      </c>
      <c r="DG15">
        <v>1.422974E-3</v>
      </c>
      <c r="DH15">
        <v>883.5</v>
      </c>
      <c r="DI15">
        <v>104</v>
      </c>
      <c r="DJ15">
        <v>-826</v>
      </c>
      <c r="DK15">
        <v>111</v>
      </c>
      <c r="DL15">
        <v>0.53610076900000003</v>
      </c>
      <c r="DM15">
        <v>115.9686279</v>
      </c>
      <c r="DN15">
        <v>1.0238473509999999</v>
      </c>
      <c r="DO15">
        <v>103.0431213</v>
      </c>
      <c r="DP15">
        <v>62.902984619999998</v>
      </c>
      <c r="DQ15" t="s">
        <v>431</v>
      </c>
      <c r="DR15" t="s">
        <v>432</v>
      </c>
      <c r="DS15" t="s">
        <v>433</v>
      </c>
      <c r="DT15" t="s">
        <v>434</v>
      </c>
      <c r="DU15" t="s">
        <v>428</v>
      </c>
      <c r="DV15" t="s">
        <v>429</v>
      </c>
      <c r="DW15" t="s">
        <v>435</v>
      </c>
      <c r="DX15">
        <v>2.6784753000000001E-2</v>
      </c>
      <c r="DY15">
        <v>107.3511482</v>
      </c>
      <c r="DZ15">
        <v>19.774790500000002</v>
      </c>
      <c r="EA15">
        <v>7.3831449530000004</v>
      </c>
      <c r="EB15">
        <v>2.2225480929999999</v>
      </c>
      <c r="EC15">
        <v>2.451016573</v>
      </c>
      <c r="ED15">
        <v>11.3396648</v>
      </c>
      <c r="EE15">
        <v>7.3831449530000004</v>
      </c>
      <c r="EF15">
        <v>214.70229649999999</v>
      </c>
      <c r="EG15">
        <v>50.487096639999997</v>
      </c>
      <c r="EH15">
        <v>6.7814865470000001</v>
      </c>
      <c r="EI15">
        <v>1.0687344999999999E-2</v>
      </c>
      <c r="EJ15">
        <v>17.347147039999999</v>
      </c>
      <c r="EK15">
        <v>2.451016573</v>
      </c>
      <c r="EL15">
        <v>0.46300466899999998</v>
      </c>
      <c r="EM15">
        <v>0.979325644</v>
      </c>
      <c r="EN15">
        <v>0.39692265799999998</v>
      </c>
      <c r="EO15">
        <v>0.99867087600000004</v>
      </c>
      <c r="EP15" s="2">
        <v>9.0800000000000003E-7</v>
      </c>
      <c r="EQ15">
        <v>0.56138228000000001</v>
      </c>
      <c r="ER15">
        <v>11535.37024</v>
      </c>
      <c r="ES15">
        <v>50.487096639999997</v>
      </c>
      <c r="ET15">
        <v>-1444.9253269999999</v>
      </c>
      <c r="EU15">
        <v>123744.6323</v>
      </c>
      <c r="EV15">
        <v>0.88359950899999995</v>
      </c>
      <c r="EW15">
        <v>1.726438315</v>
      </c>
      <c r="EX15" s="2">
        <v>8.8800000000000004E-5</v>
      </c>
      <c r="EY15">
        <v>11455.75605</v>
      </c>
      <c r="EZ15" s="2">
        <v>7.8700000000000002E-5</v>
      </c>
      <c r="FA15">
        <v>10108.31847</v>
      </c>
      <c r="FB15" s="2">
        <v>1.5200000000000001E-4</v>
      </c>
      <c r="FC15">
        <v>19857.574430000001</v>
      </c>
      <c r="FD15">
        <v>2526.4679329999999</v>
      </c>
      <c r="FE15">
        <v>25183.422559999999</v>
      </c>
      <c r="FF15">
        <v>0.84612433899999995</v>
      </c>
      <c r="FG15" s="2">
        <v>2.43E-4</v>
      </c>
      <c r="FH15">
        <v>1.1832674E-2</v>
      </c>
      <c r="FI15">
        <v>0.23258554400000001</v>
      </c>
      <c r="FJ15">
        <v>8929.6002939999998</v>
      </c>
      <c r="FK15">
        <v>3.1751768039999999</v>
      </c>
      <c r="FL15">
        <v>0.59876754499999996</v>
      </c>
      <c r="FM15">
        <v>4977.7177750000001</v>
      </c>
      <c r="FN15" s="2">
        <v>9.7E-5</v>
      </c>
      <c r="FO15">
        <v>10966.568740000001</v>
      </c>
      <c r="FP15" s="2">
        <v>6.1199999999999997E-5</v>
      </c>
      <c r="FQ15">
        <v>6392.2433229999997</v>
      </c>
      <c r="FR15">
        <v>0.430134393</v>
      </c>
      <c r="FS15" s="2">
        <v>57700000</v>
      </c>
      <c r="FT15">
        <v>259.57996370000001</v>
      </c>
      <c r="FU15">
        <v>4.2842047000000001E-2</v>
      </c>
      <c r="FV15">
        <v>2021.1128900000001</v>
      </c>
      <c r="FW15">
        <v>0.333572023</v>
      </c>
      <c r="FX15">
        <v>0.154945786</v>
      </c>
      <c r="FY15">
        <v>109.9536909</v>
      </c>
      <c r="FZ15">
        <v>4936.0653339999999</v>
      </c>
      <c r="GA15">
        <v>7.3503142459999999</v>
      </c>
    </row>
    <row r="16" spans="1:183" x14ac:dyDescent="0.2">
      <c r="A16" t="s">
        <v>2454</v>
      </c>
      <c r="B16" t="s">
        <v>182</v>
      </c>
      <c r="C16" t="s">
        <v>436</v>
      </c>
      <c r="D16" s="1">
        <v>43134</v>
      </c>
      <c r="E16" t="s">
        <v>437</v>
      </c>
      <c r="F16" t="s">
        <v>185</v>
      </c>
      <c r="G16" t="s">
        <v>186</v>
      </c>
      <c r="H16">
        <v>1</v>
      </c>
      <c r="I16">
        <v>400</v>
      </c>
      <c r="J16">
        <v>10</v>
      </c>
      <c r="K16" t="s">
        <v>187</v>
      </c>
      <c r="L16" t="s">
        <v>438</v>
      </c>
      <c r="M16">
        <v>5</v>
      </c>
      <c r="N16">
        <v>0.73828125</v>
      </c>
      <c r="O16">
        <v>0.73828125</v>
      </c>
      <c r="P16" t="s">
        <v>439</v>
      </c>
      <c r="Q16">
        <v>0</v>
      </c>
      <c r="R16" t="s">
        <v>194</v>
      </c>
      <c r="T16">
        <v>100927.1366</v>
      </c>
      <c r="U16">
        <v>101165.7136</v>
      </c>
      <c r="V16">
        <v>37121</v>
      </c>
      <c r="W16">
        <v>19175.978139999999</v>
      </c>
      <c r="X16">
        <v>0.18999823800000001</v>
      </c>
      <c r="Y16">
        <v>26.310453670000001</v>
      </c>
      <c r="Z16">
        <v>2.1443552000000001E-2</v>
      </c>
      <c r="AA16">
        <v>0.16337879899999999</v>
      </c>
      <c r="AB16">
        <v>1.8292290929999999</v>
      </c>
      <c r="AC16">
        <v>0.54667838199999996</v>
      </c>
      <c r="AD16">
        <v>0.82922909300000003</v>
      </c>
      <c r="AE16" t="s">
        <v>440</v>
      </c>
      <c r="AF16" t="s">
        <v>441</v>
      </c>
      <c r="AG16" t="s">
        <v>442</v>
      </c>
      <c r="AH16" t="s">
        <v>193</v>
      </c>
      <c r="AI16" t="s">
        <v>193</v>
      </c>
      <c r="AJ16" t="s">
        <v>193</v>
      </c>
      <c r="AK16" t="s">
        <v>193</v>
      </c>
      <c r="AL16" t="s">
        <v>193</v>
      </c>
      <c r="AM16" t="s">
        <v>193</v>
      </c>
      <c r="AN16" t="s">
        <v>193</v>
      </c>
      <c r="AO16" t="s">
        <v>193</v>
      </c>
      <c r="AP16" t="s">
        <v>193</v>
      </c>
      <c r="AQ16">
        <v>0.27570320599999998</v>
      </c>
      <c r="AR16" t="s">
        <v>193</v>
      </c>
      <c r="AS16" t="s">
        <v>193</v>
      </c>
      <c r="AT16">
        <v>121.7881002</v>
      </c>
      <c r="AU16" t="s">
        <v>193</v>
      </c>
      <c r="AV16" s="2">
        <v>78000000</v>
      </c>
      <c r="AW16">
        <v>50.978179470000001</v>
      </c>
      <c r="AX16">
        <v>5453.319047</v>
      </c>
      <c r="AY16">
        <v>-3.7971896520000001</v>
      </c>
      <c r="AZ16">
        <v>27.459433019999999</v>
      </c>
      <c r="BA16">
        <v>61</v>
      </c>
      <c r="BB16">
        <v>-722</v>
      </c>
      <c r="BC16">
        <v>11</v>
      </c>
      <c r="BD16">
        <v>41</v>
      </c>
      <c r="BE16">
        <v>61</v>
      </c>
      <c r="BF16">
        <v>82</v>
      </c>
      <c r="BG16">
        <v>103</v>
      </c>
      <c r="BH16">
        <v>73.8465913</v>
      </c>
      <c r="BI16">
        <v>1009</v>
      </c>
      <c r="BJ16">
        <v>41</v>
      </c>
      <c r="BK16">
        <v>1731</v>
      </c>
      <c r="BL16">
        <v>38.072450510000003</v>
      </c>
      <c r="BM16">
        <v>17.853861429999998</v>
      </c>
      <c r="BN16">
        <v>36.76258721</v>
      </c>
      <c r="BO16">
        <v>1.4485921639999999</v>
      </c>
      <c r="BP16">
        <v>0.33333333300000001</v>
      </c>
      <c r="BQ16" t="s">
        <v>194</v>
      </c>
      <c r="BR16" s="2">
        <v>299000000</v>
      </c>
      <c r="BS16">
        <v>89.733459909999993</v>
      </c>
      <c r="BT16">
        <v>5157.2439029999996</v>
      </c>
      <c r="BU16">
        <v>50179.967190000003</v>
      </c>
      <c r="BV16">
        <v>0.553235107</v>
      </c>
      <c r="BW16">
        <v>137.84236150000001</v>
      </c>
      <c r="BX16">
        <v>0.97838128700000004</v>
      </c>
      <c r="BY16">
        <v>127.10585020000001</v>
      </c>
      <c r="BZ16" t="s">
        <v>194</v>
      </c>
      <c r="CA16" t="s">
        <v>443</v>
      </c>
      <c r="CB16" t="s">
        <v>444</v>
      </c>
      <c r="CC16" t="s">
        <v>445</v>
      </c>
      <c r="CD16" t="s">
        <v>446</v>
      </c>
      <c r="CE16" t="s">
        <v>447</v>
      </c>
      <c r="CF16" t="s">
        <v>448</v>
      </c>
      <c r="CG16" t="s">
        <v>449</v>
      </c>
      <c r="CH16">
        <v>105.6492282</v>
      </c>
      <c r="CI16">
        <v>54.600134709999999</v>
      </c>
      <c r="CJ16">
        <v>-3.7848247509999999</v>
      </c>
      <c r="CK16">
        <v>27.340636109999998</v>
      </c>
      <c r="CL16">
        <v>107</v>
      </c>
      <c r="CM16">
        <v>28</v>
      </c>
      <c r="CN16">
        <v>102</v>
      </c>
      <c r="CO16">
        <v>105</v>
      </c>
      <c r="CP16">
        <v>107</v>
      </c>
      <c r="CQ16">
        <v>109</v>
      </c>
      <c r="CR16">
        <v>111</v>
      </c>
      <c r="CS16">
        <v>7.389190396</v>
      </c>
      <c r="CT16">
        <v>201</v>
      </c>
      <c r="CU16">
        <v>106</v>
      </c>
      <c r="CV16">
        <v>4</v>
      </c>
      <c r="CW16">
        <v>173</v>
      </c>
      <c r="CX16">
        <v>3.8259889810000001</v>
      </c>
      <c r="CY16">
        <v>1.902733894</v>
      </c>
      <c r="CZ16">
        <v>3.6865386170000001</v>
      </c>
      <c r="DA16">
        <v>6.9940789000000003E-2</v>
      </c>
      <c r="DB16">
        <v>1.8691589000000002E-2</v>
      </c>
      <c r="DC16">
        <v>1.2293531170000001</v>
      </c>
      <c r="DD16">
        <v>4.0838226579999999</v>
      </c>
      <c r="DE16">
        <v>1056.4922819999999</v>
      </c>
      <c r="DF16">
        <v>8.4457502000000004E-2</v>
      </c>
      <c r="DG16">
        <v>1.508375E-3</v>
      </c>
      <c r="DH16">
        <v>1279</v>
      </c>
      <c r="DI16">
        <v>105</v>
      </c>
      <c r="DJ16">
        <v>-857</v>
      </c>
      <c r="DK16">
        <v>108</v>
      </c>
      <c r="DL16">
        <v>0.553235107</v>
      </c>
      <c r="DM16">
        <v>137.84236150000001</v>
      </c>
      <c r="DN16">
        <v>0.97838128700000004</v>
      </c>
      <c r="DO16">
        <v>127.10585020000001</v>
      </c>
      <c r="DP16" t="s">
        <v>194</v>
      </c>
      <c r="DQ16" t="s">
        <v>450</v>
      </c>
      <c r="DR16" t="s">
        <v>451</v>
      </c>
      <c r="DS16" t="s">
        <v>452</v>
      </c>
      <c r="DT16" t="s">
        <v>453</v>
      </c>
      <c r="DU16" t="s">
        <v>447</v>
      </c>
      <c r="DV16" t="s">
        <v>448</v>
      </c>
      <c r="DW16" t="s">
        <v>454</v>
      </c>
      <c r="DX16">
        <v>3.7420080000000001E-2</v>
      </c>
      <c r="DY16">
        <v>106.27058460000001</v>
      </c>
      <c r="DZ16">
        <v>36.585804879999998</v>
      </c>
      <c r="EA16">
        <v>7.2676366359999998</v>
      </c>
      <c r="EB16">
        <v>2.1877766250000001</v>
      </c>
      <c r="EC16">
        <v>2.5913957829999998</v>
      </c>
      <c r="ED16">
        <v>22.132321569999998</v>
      </c>
      <c r="EE16">
        <v>7.2676366359999998</v>
      </c>
      <c r="EF16">
        <v>212.54116930000001</v>
      </c>
      <c r="EG16">
        <v>116.9871837</v>
      </c>
      <c r="EH16">
        <v>7.2672115000000002</v>
      </c>
      <c r="EI16">
        <v>1.3661176000000001E-2</v>
      </c>
      <c r="EJ16">
        <v>28.847653680000001</v>
      </c>
      <c r="EK16">
        <v>2.5913957829999998</v>
      </c>
      <c r="EL16">
        <v>0.48411191599999998</v>
      </c>
      <c r="EM16">
        <v>0.98593837500000003</v>
      </c>
      <c r="EN16">
        <v>0.42532936399999999</v>
      </c>
      <c r="EO16">
        <v>0.99907695299999999</v>
      </c>
      <c r="EP16" s="2">
        <v>4.8199999999999996E-6</v>
      </c>
      <c r="EQ16">
        <v>0.60575346399999996</v>
      </c>
      <c r="ER16">
        <v>11315.59914</v>
      </c>
      <c r="ES16">
        <v>116.9871837</v>
      </c>
      <c r="ET16">
        <v>-4905.5631149999999</v>
      </c>
      <c r="EU16">
        <v>475711.0295</v>
      </c>
      <c r="EV16">
        <v>0.865272614</v>
      </c>
      <c r="EW16">
        <v>1.858376764</v>
      </c>
      <c r="EX16" s="2">
        <v>9.3300000000000005E-5</v>
      </c>
      <c r="EY16">
        <v>11156.695809999999</v>
      </c>
      <c r="EZ16" s="2">
        <v>8.1500000000000002E-5</v>
      </c>
      <c r="FA16">
        <v>9610.5994819999996</v>
      </c>
      <c r="FB16" s="2">
        <v>1.6799999999999999E-4</v>
      </c>
      <c r="FC16">
        <v>21007.562409999999</v>
      </c>
      <c r="FD16">
        <v>2416.7334989999999</v>
      </c>
      <c r="FE16">
        <v>21921.692849999999</v>
      </c>
      <c r="FF16">
        <v>0.82053699599999996</v>
      </c>
      <c r="FG16" s="2">
        <v>2.4699999999999999E-4</v>
      </c>
      <c r="FH16">
        <v>1.3296196E-2</v>
      </c>
      <c r="FI16">
        <v>0.16639779699999999</v>
      </c>
      <c r="FJ16">
        <v>16073.24711</v>
      </c>
      <c r="FK16">
        <v>6.0503259160000002</v>
      </c>
      <c r="FL16">
        <v>0.69254732600000002</v>
      </c>
      <c r="FM16">
        <v>10228.99403</v>
      </c>
      <c r="FN16" s="2">
        <v>1.18E-4</v>
      </c>
      <c r="FO16">
        <v>9925.3294160000005</v>
      </c>
      <c r="FP16" s="2">
        <v>8.8399999999999994E-5</v>
      </c>
      <c r="FQ16">
        <v>6569.4686419999998</v>
      </c>
      <c r="FR16">
        <v>0.89844572499999997</v>
      </c>
      <c r="FS16" s="2">
        <v>117000000</v>
      </c>
      <c r="FT16">
        <v>165.9423615</v>
      </c>
      <c r="FU16">
        <v>3.0953621000000001E-2</v>
      </c>
      <c r="FV16">
        <v>2377.4797610000001</v>
      </c>
      <c r="FW16">
        <v>0.44347691900000002</v>
      </c>
      <c r="FX16">
        <v>0.14441960100000001</v>
      </c>
      <c r="FY16">
        <v>241.49922340000001</v>
      </c>
      <c r="FZ16">
        <v>10181.04855</v>
      </c>
      <c r="GA16">
        <v>7.3846239599999999</v>
      </c>
    </row>
    <row r="17" spans="1:183" x14ac:dyDescent="0.2">
      <c r="A17" t="s">
        <v>2455</v>
      </c>
      <c r="B17" t="s">
        <v>455</v>
      </c>
      <c r="C17" t="s">
        <v>456</v>
      </c>
      <c r="D17" s="1">
        <v>43873</v>
      </c>
      <c r="E17" t="s">
        <v>457</v>
      </c>
      <c r="F17" t="s">
        <v>185</v>
      </c>
      <c r="G17" t="s">
        <v>458</v>
      </c>
      <c r="H17">
        <v>1</v>
      </c>
      <c r="I17">
        <v>400</v>
      </c>
      <c r="J17">
        <v>10</v>
      </c>
      <c r="K17" t="s">
        <v>187</v>
      </c>
      <c r="L17" t="s">
        <v>459</v>
      </c>
      <c r="M17">
        <v>2</v>
      </c>
      <c r="N17">
        <v>0.583984375</v>
      </c>
      <c r="O17">
        <v>0.583984375</v>
      </c>
      <c r="P17" t="s">
        <v>460</v>
      </c>
      <c r="Q17">
        <v>0</v>
      </c>
      <c r="R17" t="s">
        <v>194</v>
      </c>
      <c r="T17">
        <v>4667.3573900000001</v>
      </c>
      <c r="U17">
        <v>4701.5464250000005</v>
      </c>
      <c r="V17">
        <v>6893</v>
      </c>
      <c r="W17">
        <v>2106.2343169999999</v>
      </c>
      <c r="X17">
        <v>0.45126913200000002</v>
      </c>
      <c r="Y17">
        <v>20.71042302</v>
      </c>
      <c r="Z17">
        <v>2.7241818000000001E-2</v>
      </c>
      <c r="AA17">
        <v>0.26367832699999999</v>
      </c>
      <c r="AB17">
        <v>1.559463407</v>
      </c>
      <c r="AC17">
        <v>0.64124621000000004</v>
      </c>
      <c r="AD17">
        <v>0.55946340699999997</v>
      </c>
      <c r="AE17" t="s">
        <v>461</v>
      </c>
      <c r="AF17" t="s">
        <v>462</v>
      </c>
      <c r="AG17" t="s">
        <v>463</v>
      </c>
      <c r="AH17" t="s">
        <v>193</v>
      </c>
      <c r="AI17" t="s">
        <v>193</v>
      </c>
      <c r="AJ17" t="s">
        <v>193</v>
      </c>
      <c r="AK17" t="s">
        <v>193</v>
      </c>
      <c r="AL17" t="s">
        <v>193</v>
      </c>
      <c r="AM17" t="s">
        <v>193</v>
      </c>
      <c r="AN17" t="s">
        <v>193</v>
      </c>
      <c r="AO17" t="s">
        <v>193</v>
      </c>
      <c r="AP17" t="s">
        <v>193</v>
      </c>
      <c r="AQ17">
        <v>2.4637822890000001</v>
      </c>
      <c r="AR17" t="s">
        <v>193</v>
      </c>
      <c r="AS17" t="s">
        <v>193</v>
      </c>
      <c r="AT17">
        <v>30.838253900000002</v>
      </c>
      <c r="AU17" t="s">
        <v>193</v>
      </c>
      <c r="AV17">
        <v>174756.0716</v>
      </c>
      <c r="AW17">
        <v>37.442187730000001</v>
      </c>
      <c r="AX17">
        <v>4854.6421309999996</v>
      </c>
      <c r="AY17">
        <v>-3.782107189</v>
      </c>
      <c r="AZ17">
        <v>31.160544909999999</v>
      </c>
      <c r="BA17">
        <v>38</v>
      </c>
      <c r="BB17">
        <v>-896</v>
      </c>
      <c r="BC17">
        <v>-8</v>
      </c>
      <c r="BD17">
        <v>10</v>
      </c>
      <c r="BE17">
        <v>38</v>
      </c>
      <c r="BF17">
        <v>74</v>
      </c>
      <c r="BG17">
        <v>103</v>
      </c>
      <c r="BH17">
        <v>69.675261980000002</v>
      </c>
      <c r="BI17">
        <v>276</v>
      </c>
      <c r="BJ17">
        <v>64</v>
      </c>
      <c r="BK17">
        <v>1172</v>
      </c>
      <c r="BL17">
        <v>42.597444189999997</v>
      </c>
      <c r="BM17">
        <v>26.414348499999999</v>
      </c>
      <c r="BN17">
        <v>42.590889310000001</v>
      </c>
      <c r="BO17">
        <v>1.8608758249999999</v>
      </c>
      <c r="BP17">
        <v>0.76190476200000001</v>
      </c>
      <c r="BQ17" t="s">
        <v>194</v>
      </c>
      <c r="BR17" s="2">
        <v>43100000</v>
      </c>
      <c r="BS17">
        <v>79.098416880000002</v>
      </c>
      <c r="BT17">
        <v>176.0361838</v>
      </c>
      <c r="BU17">
        <v>10505.781580000001</v>
      </c>
      <c r="BV17">
        <v>0.48086321999999998</v>
      </c>
      <c r="BW17">
        <v>83.536170960000007</v>
      </c>
      <c r="BX17">
        <v>1.055170776</v>
      </c>
      <c r="BY17">
        <v>65.875808719999995</v>
      </c>
      <c r="BZ17">
        <v>65.326774599999993</v>
      </c>
      <c r="CA17" t="s">
        <v>464</v>
      </c>
      <c r="CB17" t="s">
        <v>465</v>
      </c>
      <c r="CC17" t="s">
        <v>466</v>
      </c>
      <c r="CD17" t="s">
        <v>467</v>
      </c>
      <c r="CE17" t="s">
        <v>468</v>
      </c>
      <c r="CF17" t="s">
        <v>469</v>
      </c>
      <c r="CG17" t="s">
        <v>470</v>
      </c>
      <c r="CH17">
        <v>104.28942410000001</v>
      </c>
      <c r="CI17">
        <v>48.545132600000002</v>
      </c>
      <c r="CJ17">
        <v>-3.7772005989999999</v>
      </c>
      <c r="CK17">
        <v>31.123393440000001</v>
      </c>
      <c r="CL17">
        <v>104</v>
      </c>
      <c r="CM17">
        <v>11</v>
      </c>
      <c r="CN17">
        <v>100</v>
      </c>
      <c r="CO17">
        <v>102</v>
      </c>
      <c r="CP17">
        <v>104</v>
      </c>
      <c r="CQ17">
        <v>108</v>
      </c>
      <c r="CR17">
        <v>111</v>
      </c>
      <c r="CS17">
        <v>6.9674337169999996</v>
      </c>
      <c r="CT17">
        <v>128</v>
      </c>
      <c r="CU17">
        <v>102</v>
      </c>
      <c r="CV17">
        <v>6</v>
      </c>
      <c r="CW17">
        <v>117</v>
      </c>
      <c r="CX17">
        <v>4.2678108679999998</v>
      </c>
      <c r="CY17">
        <v>2.7805772270000002</v>
      </c>
      <c r="CZ17">
        <v>4.2627303059999999</v>
      </c>
      <c r="DA17">
        <v>6.6808632000000007E-2</v>
      </c>
      <c r="DB17">
        <v>2.8571428999999999E-2</v>
      </c>
      <c r="DC17">
        <v>1.3098427429999999</v>
      </c>
      <c r="DD17">
        <v>4.3512034069999999</v>
      </c>
      <c r="DE17">
        <v>1042.894241</v>
      </c>
      <c r="DF17">
        <v>6.3983293999999996E-2</v>
      </c>
      <c r="DG17">
        <v>3.0466960000000002E-3</v>
      </c>
      <c r="DH17">
        <v>256</v>
      </c>
      <c r="DI17">
        <v>100</v>
      </c>
      <c r="DJ17">
        <v>-116.5</v>
      </c>
      <c r="DK17">
        <v>103</v>
      </c>
      <c r="DL17">
        <v>0.48086321999999998</v>
      </c>
      <c r="DM17">
        <v>83.536170960000007</v>
      </c>
      <c r="DN17">
        <v>1.055170776</v>
      </c>
      <c r="DO17">
        <v>65.875808719999995</v>
      </c>
      <c r="DP17">
        <v>65.326774599999993</v>
      </c>
      <c r="DQ17" t="s">
        <v>471</v>
      </c>
      <c r="DR17" t="s">
        <v>472</v>
      </c>
      <c r="DS17" t="s">
        <v>473</v>
      </c>
      <c r="DT17" t="s">
        <v>474</v>
      </c>
      <c r="DU17" t="s">
        <v>468</v>
      </c>
      <c r="DV17" t="s">
        <v>469</v>
      </c>
      <c r="DW17" t="s">
        <v>475</v>
      </c>
      <c r="DX17">
        <v>2.7112675999999999E-2</v>
      </c>
      <c r="DY17">
        <v>104.8895924</v>
      </c>
      <c r="DZ17">
        <v>30.436286590000002</v>
      </c>
      <c r="EA17">
        <v>7.5927906910000003</v>
      </c>
      <c r="EB17">
        <v>2.2856577489999998</v>
      </c>
      <c r="EC17">
        <v>2.366481582</v>
      </c>
      <c r="ED17">
        <v>13.1506452</v>
      </c>
      <c r="EE17">
        <v>7.5927906910000003</v>
      </c>
      <c r="EF17">
        <v>209.7791847</v>
      </c>
      <c r="EG17">
        <v>101.16092519999999</v>
      </c>
      <c r="EH17">
        <v>7.5643102439999996</v>
      </c>
      <c r="EI17">
        <v>9.5306420000000006E-3</v>
      </c>
      <c r="EJ17">
        <v>18.750880280000001</v>
      </c>
      <c r="EK17">
        <v>2.366481582</v>
      </c>
      <c r="EL17">
        <v>0.47323600199999999</v>
      </c>
      <c r="EM17">
        <v>0.98110516599999997</v>
      </c>
      <c r="EN17">
        <v>0.40984910499999999</v>
      </c>
      <c r="EO17">
        <v>0.99871317999999998</v>
      </c>
      <c r="EP17" s="2">
        <v>3.46E-7</v>
      </c>
      <c r="EQ17">
        <v>0.69196504599999997</v>
      </c>
      <c r="ER17">
        <v>11022.887430000001</v>
      </c>
      <c r="ES17">
        <v>101.16092519999999</v>
      </c>
      <c r="ET17">
        <v>-2519.044359</v>
      </c>
      <c r="EU17">
        <v>284874.2022</v>
      </c>
      <c r="EV17">
        <v>0.88073667600000005</v>
      </c>
      <c r="EW17">
        <v>1.7044897779999999</v>
      </c>
      <c r="EX17" s="2">
        <v>9.6500000000000001E-5</v>
      </c>
      <c r="EY17">
        <v>10914.958930000001</v>
      </c>
      <c r="EZ17" s="2">
        <v>8.5599999999999994E-5</v>
      </c>
      <c r="FA17">
        <v>9604.1269240000001</v>
      </c>
      <c r="FB17" s="2">
        <v>1.6100000000000001E-4</v>
      </c>
      <c r="FC17">
        <v>18639.1132</v>
      </c>
      <c r="FD17">
        <v>353.48266059999997</v>
      </c>
      <c r="FE17">
        <v>4309.8245610000004</v>
      </c>
      <c r="FF17">
        <v>0.84109855</v>
      </c>
      <c r="FG17">
        <v>1.944624E-3</v>
      </c>
      <c r="FH17">
        <v>2.3005536E-2</v>
      </c>
      <c r="FI17">
        <v>3.5296015E-2</v>
      </c>
      <c r="FJ17">
        <v>6820.1782409999996</v>
      </c>
      <c r="FK17">
        <v>17.98423773</v>
      </c>
      <c r="FL17">
        <v>0.66488328399999996</v>
      </c>
      <c r="FM17">
        <v>1296.654016</v>
      </c>
      <c r="FN17" s="2">
        <v>1.1900000000000001E-4</v>
      </c>
      <c r="FO17">
        <v>10334.159750000001</v>
      </c>
      <c r="FP17" s="2">
        <v>8.7999999999999998E-5</v>
      </c>
      <c r="FQ17">
        <v>6618.6039760000003</v>
      </c>
      <c r="FR17">
        <v>0.121027721</v>
      </c>
      <c r="FS17" s="2">
        <v>13900000</v>
      </c>
      <c r="FT17">
        <v>37.577228599999998</v>
      </c>
      <c r="FU17">
        <v>3.3166133E-2</v>
      </c>
      <c r="FV17">
        <v>462.9858782</v>
      </c>
      <c r="FW17">
        <v>0.40863713899999998</v>
      </c>
      <c r="FX17">
        <v>0.16436965000000001</v>
      </c>
      <c r="FY17">
        <v>189.0652939</v>
      </c>
      <c r="FZ17">
        <v>1259.640807</v>
      </c>
      <c r="GA17">
        <v>7.1350983650000002</v>
      </c>
    </row>
    <row r="18" spans="1:183" x14ac:dyDescent="0.2">
      <c r="A18" t="s">
        <v>2456</v>
      </c>
      <c r="B18" t="s">
        <v>182</v>
      </c>
      <c r="C18" t="s">
        <v>476</v>
      </c>
      <c r="D18" s="1">
        <v>43686</v>
      </c>
      <c r="E18" t="s">
        <v>400</v>
      </c>
      <c r="F18" t="s">
        <v>185</v>
      </c>
      <c r="G18" t="s">
        <v>186</v>
      </c>
      <c r="H18">
        <v>1</v>
      </c>
      <c r="I18">
        <v>400</v>
      </c>
      <c r="J18">
        <v>10</v>
      </c>
      <c r="K18" t="s">
        <v>187</v>
      </c>
      <c r="L18" t="s">
        <v>477</v>
      </c>
      <c r="M18">
        <v>2</v>
      </c>
      <c r="N18">
        <v>0.68359375</v>
      </c>
      <c r="O18">
        <v>0.68359375</v>
      </c>
      <c r="P18" t="s">
        <v>478</v>
      </c>
      <c r="Q18">
        <v>0</v>
      </c>
      <c r="R18" t="s">
        <v>194</v>
      </c>
      <c r="T18">
        <v>174403.71909999999</v>
      </c>
      <c r="U18">
        <v>174621.7537</v>
      </c>
      <c r="V18">
        <v>186841</v>
      </c>
      <c r="W18">
        <v>31765.41116</v>
      </c>
      <c r="X18">
        <v>0.18213723500000001</v>
      </c>
      <c r="Y18">
        <v>32.462052800000002</v>
      </c>
      <c r="Z18">
        <v>1.7379972E-2</v>
      </c>
      <c r="AA18">
        <v>0.107324881</v>
      </c>
      <c r="AB18">
        <v>2.1042622400000002</v>
      </c>
      <c r="AC18">
        <v>0.47522594000000001</v>
      </c>
      <c r="AD18">
        <v>1.10426224</v>
      </c>
      <c r="AE18" t="s">
        <v>479</v>
      </c>
      <c r="AF18" t="s">
        <v>480</v>
      </c>
      <c r="AG18" t="s">
        <v>481</v>
      </c>
      <c r="AH18" t="s">
        <v>193</v>
      </c>
      <c r="AI18" t="s">
        <v>193</v>
      </c>
      <c r="AJ18" t="s">
        <v>193</v>
      </c>
      <c r="AK18" t="s">
        <v>193</v>
      </c>
      <c r="AL18" t="s">
        <v>193</v>
      </c>
      <c r="AM18" t="s">
        <v>193</v>
      </c>
      <c r="AN18" t="s">
        <v>193</v>
      </c>
      <c r="AO18" t="s">
        <v>193</v>
      </c>
      <c r="AP18" t="s">
        <v>193</v>
      </c>
      <c r="AQ18">
        <v>0.184497465</v>
      </c>
      <c r="AR18" t="s">
        <v>193</v>
      </c>
      <c r="AS18" t="s">
        <v>193</v>
      </c>
      <c r="AT18">
        <v>119.69173739999999</v>
      </c>
      <c r="AU18" t="s">
        <v>193</v>
      </c>
      <c r="AV18" s="2">
        <v>167000000</v>
      </c>
      <c r="AW18">
        <v>45.750841620000003</v>
      </c>
      <c r="AX18">
        <v>3647.3416750000001</v>
      </c>
      <c r="AY18">
        <v>-4.7495672180000001</v>
      </c>
      <c r="AZ18">
        <v>39.629572439999997</v>
      </c>
      <c r="BA18">
        <v>54</v>
      </c>
      <c r="BB18">
        <v>-912</v>
      </c>
      <c r="BC18">
        <v>4</v>
      </c>
      <c r="BD18">
        <v>33</v>
      </c>
      <c r="BE18">
        <v>54</v>
      </c>
      <c r="BF18">
        <v>73</v>
      </c>
      <c r="BG18">
        <v>91</v>
      </c>
      <c r="BH18">
        <v>60.393225409999999</v>
      </c>
      <c r="BI18">
        <v>407</v>
      </c>
      <c r="BJ18">
        <v>40</v>
      </c>
      <c r="BK18">
        <v>1319</v>
      </c>
      <c r="BL18">
        <v>33.201221189999998</v>
      </c>
      <c r="BM18">
        <v>17.127337470000001</v>
      </c>
      <c r="BN18">
        <v>32.250357260000001</v>
      </c>
      <c r="BO18">
        <v>1.320046217</v>
      </c>
      <c r="BP18">
        <v>0.37735849100000002</v>
      </c>
      <c r="BQ18" t="s">
        <v>194</v>
      </c>
      <c r="BR18" s="2">
        <v>1070000000</v>
      </c>
      <c r="BS18">
        <v>75.765963229999997</v>
      </c>
      <c r="BT18">
        <v>7989.0921969999999</v>
      </c>
      <c r="BU18">
        <v>84353.020990000005</v>
      </c>
      <c r="BV18">
        <v>0.51309582499999995</v>
      </c>
      <c r="BW18">
        <v>92.577415470000005</v>
      </c>
      <c r="BX18">
        <v>1.0346031490000001</v>
      </c>
      <c r="BY18">
        <v>84.519424439999995</v>
      </c>
      <c r="BZ18">
        <v>66.853660579999996</v>
      </c>
      <c r="CA18" t="s">
        <v>482</v>
      </c>
      <c r="CB18" t="s">
        <v>483</v>
      </c>
      <c r="CC18" t="s">
        <v>484</v>
      </c>
      <c r="CD18" t="s">
        <v>485</v>
      </c>
      <c r="CE18" t="s">
        <v>486</v>
      </c>
      <c r="CF18" t="s">
        <v>487</v>
      </c>
      <c r="CG18" t="s">
        <v>488</v>
      </c>
      <c r="CH18">
        <v>105.1249083</v>
      </c>
      <c r="CI18">
        <v>36.553609160000001</v>
      </c>
      <c r="CJ18">
        <v>-4.7295643199999997</v>
      </c>
      <c r="CK18">
        <v>39.395286759999998</v>
      </c>
      <c r="CL18">
        <v>106</v>
      </c>
      <c r="CM18">
        <v>9</v>
      </c>
      <c r="CN18">
        <v>101</v>
      </c>
      <c r="CO18">
        <v>104</v>
      </c>
      <c r="CP18">
        <v>106</v>
      </c>
      <c r="CQ18">
        <v>108</v>
      </c>
      <c r="CR18">
        <v>110</v>
      </c>
      <c r="CS18">
        <v>6.0459580849999996</v>
      </c>
      <c r="CT18">
        <v>141</v>
      </c>
      <c r="CU18">
        <v>106</v>
      </c>
      <c r="CV18">
        <v>4</v>
      </c>
      <c r="CW18">
        <v>132</v>
      </c>
      <c r="CX18">
        <v>3.3241487759999999</v>
      </c>
      <c r="CY18">
        <v>1.8330275709999999</v>
      </c>
      <c r="CZ18">
        <v>3.2139573220000002</v>
      </c>
      <c r="DA18">
        <v>5.7512136999999998E-2</v>
      </c>
      <c r="DB18">
        <v>1.8867925000000001E-2</v>
      </c>
      <c r="DC18">
        <v>1.2018436180000001</v>
      </c>
      <c r="DD18">
        <v>3.992438081</v>
      </c>
      <c r="DE18">
        <v>1051.2490829999999</v>
      </c>
      <c r="DF18">
        <v>8.8263302000000002E-2</v>
      </c>
      <c r="DG18" s="2">
        <v>6.87E-4</v>
      </c>
      <c r="DH18">
        <v>5664.5</v>
      </c>
      <c r="DI18">
        <v>104</v>
      </c>
      <c r="DJ18">
        <v>-5543.5</v>
      </c>
      <c r="DK18">
        <v>109</v>
      </c>
      <c r="DL18">
        <v>0.51309582499999995</v>
      </c>
      <c r="DM18">
        <v>92.577415470000005</v>
      </c>
      <c r="DN18">
        <v>1.0346031490000001</v>
      </c>
      <c r="DO18">
        <v>84.519424439999995</v>
      </c>
      <c r="DP18">
        <v>66.853660579999996</v>
      </c>
      <c r="DQ18" t="s">
        <v>489</v>
      </c>
      <c r="DR18" t="s">
        <v>490</v>
      </c>
      <c r="DS18" t="s">
        <v>491</v>
      </c>
      <c r="DT18" t="s">
        <v>492</v>
      </c>
      <c r="DU18" t="s">
        <v>486</v>
      </c>
      <c r="DV18" t="s">
        <v>487</v>
      </c>
      <c r="DW18" t="s">
        <v>493</v>
      </c>
      <c r="DX18">
        <v>2.5585231999999999E-2</v>
      </c>
      <c r="DY18">
        <v>105.5627356</v>
      </c>
      <c r="DZ18">
        <v>24.059042909999999</v>
      </c>
      <c r="EA18">
        <v>7.4209539099999997</v>
      </c>
      <c r="EB18">
        <v>2.2339297230000001</v>
      </c>
      <c r="EC18">
        <v>2.826813209</v>
      </c>
      <c r="ED18">
        <v>14.45500126</v>
      </c>
      <c r="EE18">
        <v>7.4209539099999997</v>
      </c>
      <c r="EF18">
        <v>211.12547119999999</v>
      </c>
      <c r="EG18">
        <v>73.786696129999996</v>
      </c>
      <c r="EH18">
        <v>7.4209342420000004</v>
      </c>
      <c r="EI18">
        <v>1.097745E-2</v>
      </c>
      <c r="EJ18">
        <v>22.445874180000001</v>
      </c>
      <c r="EK18">
        <v>2.826813209</v>
      </c>
      <c r="EL18">
        <v>0.41125005399999998</v>
      </c>
      <c r="EM18">
        <v>0.97985575499999999</v>
      </c>
      <c r="EN18">
        <v>0.33199067399999999</v>
      </c>
      <c r="EO18">
        <v>0.99877847399999997</v>
      </c>
      <c r="EP18" s="2">
        <v>5.91E-5</v>
      </c>
      <c r="EQ18">
        <v>0.53352520599999997</v>
      </c>
      <c r="ER18">
        <v>11156.32725</v>
      </c>
      <c r="ES18">
        <v>73.786696129999996</v>
      </c>
      <c r="ET18">
        <v>-2654.4780850000002</v>
      </c>
      <c r="EU18">
        <v>225649.76319999999</v>
      </c>
      <c r="EV18">
        <v>0.90369521799999997</v>
      </c>
      <c r="EW18">
        <v>1.495219136</v>
      </c>
      <c r="EX18" s="2">
        <v>9.3300000000000005E-5</v>
      </c>
      <c r="EY18">
        <v>11061.75576</v>
      </c>
      <c r="EZ18" s="2">
        <v>8.4800000000000001E-5</v>
      </c>
      <c r="FA18">
        <v>9977.0871750000006</v>
      </c>
      <c r="FB18" s="2">
        <v>1.37E-4</v>
      </c>
      <c r="FC18">
        <v>16641.082869999998</v>
      </c>
      <c r="FD18">
        <v>13686.55034</v>
      </c>
      <c r="FE18">
        <v>127036.5325</v>
      </c>
      <c r="FF18">
        <v>0.872392116</v>
      </c>
      <c r="FG18" s="2">
        <v>4.3600000000000003E-5</v>
      </c>
      <c r="FH18">
        <v>1.0378709999999999E-2</v>
      </c>
      <c r="FI18">
        <v>1.0067739280000001</v>
      </c>
      <c r="FJ18">
        <v>17569.09418</v>
      </c>
      <c r="FK18">
        <v>1.5140393029999999</v>
      </c>
      <c r="FL18">
        <v>0.68361263900000002</v>
      </c>
      <c r="FM18">
        <v>55406.23272</v>
      </c>
      <c r="FN18" s="2">
        <v>1.0900000000000001E-4</v>
      </c>
      <c r="FO18">
        <v>10358.8282</v>
      </c>
      <c r="FP18" s="2">
        <v>7.9400000000000006E-5</v>
      </c>
      <c r="FQ18">
        <v>6892.6276930000004</v>
      </c>
      <c r="FR18">
        <v>4.9066606999999998</v>
      </c>
      <c r="FS18" s="2">
        <v>626000000</v>
      </c>
      <c r="FT18">
        <v>1325.9788430000001</v>
      </c>
      <c r="FU18">
        <v>4.0133745999999998E-2</v>
      </c>
      <c r="FV18">
        <v>14271.10043</v>
      </c>
      <c r="FW18">
        <v>0.43194710600000003</v>
      </c>
      <c r="FX18">
        <v>0.176829497</v>
      </c>
      <c r="FY18">
        <v>137.97255029999999</v>
      </c>
      <c r="FZ18">
        <v>55374.251830000001</v>
      </c>
      <c r="GA18">
        <v>7.0275829959999996</v>
      </c>
    </row>
    <row r="19" spans="1:183" x14ac:dyDescent="0.2">
      <c r="A19" t="s">
        <v>2457</v>
      </c>
      <c r="B19" t="s">
        <v>182</v>
      </c>
      <c r="C19" t="s">
        <v>494</v>
      </c>
      <c r="D19" s="1">
        <v>42703</v>
      </c>
      <c r="E19" t="s">
        <v>495</v>
      </c>
      <c r="F19" t="s">
        <v>185</v>
      </c>
      <c r="G19" t="s">
        <v>186</v>
      </c>
      <c r="H19">
        <v>1</v>
      </c>
      <c r="I19">
        <v>131</v>
      </c>
      <c r="J19">
        <v>10</v>
      </c>
      <c r="K19" t="s">
        <v>496</v>
      </c>
      <c r="L19" t="s">
        <v>497</v>
      </c>
      <c r="M19">
        <v>5</v>
      </c>
      <c r="N19">
        <v>1</v>
      </c>
      <c r="O19">
        <v>1</v>
      </c>
      <c r="P19" t="s">
        <v>498</v>
      </c>
      <c r="Q19">
        <v>0</v>
      </c>
      <c r="R19" t="s">
        <v>194</v>
      </c>
      <c r="T19">
        <v>61516.041669999999</v>
      </c>
      <c r="U19">
        <v>61955</v>
      </c>
      <c r="V19">
        <v>12391</v>
      </c>
      <c r="W19">
        <v>19430.493399999999</v>
      </c>
      <c r="X19">
        <v>0.31586059300000002</v>
      </c>
      <c r="Y19">
        <v>44.028851899999999</v>
      </c>
      <c r="Z19">
        <v>1.2814088E-2</v>
      </c>
      <c r="AA19">
        <v>5.8341508E-2</v>
      </c>
      <c r="AB19">
        <v>2.5783435410000002</v>
      </c>
      <c r="AC19">
        <v>0.38784591099999999</v>
      </c>
      <c r="AD19">
        <v>1.578343541</v>
      </c>
      <c r="AE19" t="s">
        <v>499</v>
      </c>
      <c r="AF19" t="s">
        <v>500</v>
      </c>
      <c r="AG19" t="s">
        <v>501</v>
      </c>
      <c r="AH19" t="s">
        <v>193</v>
      </c>
      <c r="AI19" t="s">
        <v>193</v>
      </c>
      <c r="AJ19" t="s">
        <v>193</v>
      </c>
      <c r="AK19" t="s">
        <v>193</v>
      </c>
      <c r="AL19" t="s">
        <v>193</v>
      </c>
      <c r="AM19" t="s">
        <v>193</v>
      </c>
      <c r="AN19" t="s">
        <v>193</v>
      </c>
      <c r="AO19" t="s">
        <v>193</v>
      </c>
      <c r="AP19" t="s">
        <v>193</v>
      </c>
      <c r="AQ19">
        <v>7.9780016999999995E-2</v>
      </c>
      <c r="AR19" t="s">
        <v>193</v>
      </c>
      <c r="AS19" t="s">
        <v>193</v>
      </c>
      <c r="AT19">
        <v>103.6978785</v>
      </c>
      <c r="AU19" t="s">
        <v>193</v>
      </c>
      <c r="AV19" s="2">
        <v>65400000</v>
      </c>
      <c r="AW19">
        <v>39.702661220000003</v>
      </c>
      <c r="AX19">
        <v>5914.8128059999999</v>
      </c>
      <c r="AY19">
        <v>-5.6163521300000001</v>
      </c>
      <c r="AZ19">
        <v>65.095883650000005</v>
      </c>
      <c r="BA19">
        <v>45.78604507</v>
      </c>
      <c r="BB19">
        <v>-1024</v>
      </c>
      <c r="BC19">
        <v>-12.93649864</v>
      </c>
      <c r="BD19">
        <v>18.746814730000001</v>
      </c>
      <c r="BE19">
        <v>45.78604507</v>
      </c>
      <c r="BF19">
        <v>72.468589780000002</v>
      </c>
      <c r="BG19">
        <v>97.403488159999995</v>
      </c>
      <c r="BH19">
        <v>76.907820189999995</v>
      </c>
      <c r="BI19">
        <v>878.31188959999997</v>
      </c>
      <c r="BJ19">
        <v>53.721775049999998</v>
      </c>
      <c r="BK19">
        <v>1902.3118899999999</v>
      </c>
      <c r="BL19">
        <v>40.935496059999998</v>
      </c>
      <c r="BM19">
        <v>22.64487209</v>
      </c>
      <c r="BN19">
        <v>40.543103739999999</v>
      </c>
      <c r="BO19">
        <v>1.9370948400000001</v>
      </c>
      <c r="BP19">
        <v>0.588955071</v>
      </c>
      <c r="BQ19" t="s">
        <v>194</v>
      </c>
      <c r="BR19" s="2">
        <v>92800000</v>
      </c>
      <c r="BS19">
        <v>86.551222490000001</v>
      </c>
      <c r="BT19">
        <v>2459.7783760000002</v>
      </c>
      <c r="BU19">
        <v>56374.397089999999</v>
      </c>
      <c r="BV19">
        <v>0.53500000000000003</v>
      </c>
      <c r="BW19">
        <v>85.694427489999995</v>
      </c>
      <c r="BX19">
        <v>1.0549999999999999</v>
      </c>
      <c r="BY19">
        <v>70.858924869999996</v>
      </c>
      <c r="BZ19">
        <v>75.881385800000004</v>
      </c>
      <c r="CA19" t="s">
        <v>502</v>
      </c>
      <c r="CB19" t="s">
        <v>503</v>
      </c>
      <c r="CC19" t="s">
        <v>504</v>
      </c>
      <c r="CD19" t="s">
        <v>505</v>
      </c>
      <c r="CE19" t="s">
        <v>506</v>
      </c>
      <c r="CF19" t="s">
        <v>507</v>
      </c>
      <c r="CG19" t="s">
        <v>508</v>
      </c>
      <c r="CH19">
        <v>105.26228709999999</v>
      </c>
      <c r="CI19">
        <v>59.030228940000001</v>
      </c>
      <c r="CJ19">
        <v>-5.7979526870000004</v>
      </c>
      <c r="CK19">
        <v>64.38147764</v>
      </c>
      <c r="CL19">
        <v>106</v>
      </c>
      <c r="CM19">
        <v>1</v>
      </c>
      <c r="CN19">
        <v>100</v>
      </c>
      <c r="CO19">
        <v>103</v>
      </c>
      <c r="CP19">
        <v>106</v>
      </c>
      <c r="CQ19">
        <v>109</v>
      </c>
      <c r="CR19">
        <v>111</v>
      </c>
      <c r="CS19">
        <v>7.6831132320000002</v>
      </c>
      <c r="CT19">
        <v>131</v>
      </c>
      <c r="CU19">
        <v>106</v>
      </c>
      <c r="CV19">
        <v>6</v>
      </c>
      <c r="CW19">
        <v>130</v>
      </c>
      <c r="CX19">
        <v>4.1283778069999997</v>
      </c>
      <c r="CY19">
        <v>2.3928835720000001</v>
      </c>
      <c r="CZ19">
        <v>4.0677104350000004</v>
      </c>
      <c r="DA19">
        <v>7.2990179000000002E-2</v>
      </c>
      <c r="DB19">
        <v>2.8301887000000001E-2</v>
      </c>
      <c r="DC19">
        <v>1.307745725</v>
      </c>
      <c r="DD19">
        <v>4.3442372660000004</v>
      </c>
      <c r="DE19">
        <v>1052.622871</v>
      </c>
      <c r="DF19">
        <v>6.6177538999999994E-2</v>
      </c>
      <c r="DG19">
        <v>2.3110119999999999E-3</v>
      </c>
      <c r="DH19">
        <v>204.5</v>
      </c>
      <c r="DI19">
        <v>103</v>
      </c>
      <c r="DJ19">
        <v>-210</v>
      </c>
      <c r="DK19">
        <v>110</v>
      </c>
      <c r="DL19">
        <v>0.53500000000000003</v>
      </c>
      <c r="DM19">
        <v>85.694427489999995</v>
      </c>
      <c r="DN19">
        <v>1.0549999999999999</v>
      </c>
      <c r="DO19">
        <v>70.858924869999996</v>
      </c>
      <c r="DP19">
        <v>75.881385800000004</v>
      </c>
      <c r="DQ19" t="s">
        <v>509</v>
      </c>
      <c r="DR19" t="s">
        <v>510</v>
      </c>
      <c r="DS19" t="s">
        <v>511</v>
      </c>
      <c r="DT19" t="s">
        <v>512</v>
      </c>
      <c r="DU19" t="s">
        <v>506</v>
      </c>
      <c r="DV19" t="s">
        <v>507</v>
      </c>
      <c r="DW19" t="s">
        <v>513</v>
      </c>
      <c r="DX19">
        <v>1.2374291000000001E-2</v>
      </c>
      <c r="DY19">
        <v>105.5958325</v>
      </c>
      <c r="DZ19">
        <v>42.974226719999997</v>
      </c>
      <c r="EA19">
        <v>8.3471650119999996</v>
      </c>
      <c r="EB19">
        <v>2.512747047</v>
      </c>
      <c r="EC19">
        <v>4.5712784009999998</v>
      </c>
      <c r="ED19">
        <v>34.884475739999999</v>
      </c>
      <c r="EE19">
        <v>8.3471650119999996</v>
      </c>
      <c r="EF19">
        <v>211.19166490000001</v>
      </c>
      <c r="EG19">
        <v>116.1158449</v>
      </c>
      <c r="EH19">
        <v>8.3471650119999996</v>
      </c>
      <c r="EI19">
        <v>5.3823020000000003E-3</v>
      </c>
      <c r="EJ19">
        <v>55.781061950000002</v>
      </c>
      <c r="EK19">
        <v>4.5712784009999998</v>
      </c>
      <c r="EL19">
        <v>0.31777028299999999</v>
      </c>
      <c r="EM19">
        <v>0.96777685099999999</v>
      </c>
      <c r="EN19">
        <v>0.22732060000000001</v>
      </c>
      <c r="EO19">
        <v>0.99702981400000001</v>
      </c>
      <c r="EP19" s="2">
        <v>1.06E-5</v>
      </c>
      <c r="EQ19">
        <v>0.35099399999999997</v>
      </c>
      <c r="ER19">
        <v>11165.563529999999</v>
      </c>
      <c r="ES19">
        <v>116.1158449</v>
      </c>
      <c r="ET19">
        <v>-8549.9751039999992</v>
      </c>
      <c r="EU19">
        <v>1396257.132</v>
      </c>
      <c r="EV19">
        <v>0.95084678099999997</v>
      </c>
      <c r="EW19">
        <v>1.22324525</v>
      </c>
      <c r="EX19">
        <v>1.025588E-3</v>
      </c>
      <c r="EY19">
        <v>11133.08992</v>
      </c>
      <c r="EZ19" s="2">
        <v>9.2299999999999999E-4</v>
      </c>
      <c r="FA19">
        <v>10580.643410000001</v>
      </c>
      <c r="FB19">
        <v>1.948165E-3</v>
      </c>
      <c r="FC19">
        <v>13636.4077</v>
      </c>
      <c r="FD19">
        <v>747.19714090000002</v>
      </c>
      <c r="FE19">
        <v>10197.338170000001</v>
      </c>
      <c r="FF19">
        <v>0.93490933200000004</v>
      </c>
      <c r="FG19" s="2">
        <v>5.3399999999999997E-4</v>
      </c>
      <c r="FH19">
        <v>4.167332E-2</v>
      </c>
      <c r="FI19">
        <v>0.104392445</v>
      </c>
      <c r="FJ19">
        <v>21317.854230000001</v>
      </c>
      <c r="FK19">
        <v>8.8332098220000006</v>
      </c>
      <c r="FL19">
        <v>0.70268202800000001</v>
      </c>
      <c r="FM19">
        <v>36.121723940000003</v>
      </c>
      <c r="FN19" s="2">
        <v>3.4299999999999999E-4</v>
      </c>
      <c r="FO19">
        <v>11006.301880000001</v>
      </c>
      <c r="FP19" s="2">
        <v>1.2400000000000001E-4</v>
      </c>
      <c r="FQ19">
        <v>7670.6708550000003</v>
      </c>
      <c r="FR19">
        <v>3.6085256000000003E-2</v>
      </c>
      <c r="FS19">
        <v>405348.42109999998</v>
      </c>
      <c r="FT19">
        <v>233.71520090000001</v>
      </c>
      <c r="FU19">
        <v>4.5372782E-2</v>
      </c>
      <c r="FV19">
        <v>2351.491943</v>
      </c>
      <c r="FW19">
        <v>0.456511734</v>
      </c>
      <c r="FX19">
        <v>0.41570494699999999</v>
      </c>
      <c r="FY19">
        <v>97.186783480000003</v>
      </c>
      <c r="FZ19">
        <v>30.335041969999999</v>
      </c>
      <c r="GA19">
        <v>6.6240660179999997</v>
      </c>
    </row>
    <row r="20" spans="1:183" x14ac:dyDescent="0.2">
      <c r="A20" t="s">
        <v>2458</v>
      </c>
      <c r="B20" t="s">
        <v>514</v>
      </c>
      <c r="C20" t="s">
        <v>515</v>
      </c>
      <c r="D20" s="1">
        <v>43224</v>
      </c>
      <c r="E20" t="s">
        <v>495</v>
      </c>
      <c r="F20" t="s">
        <v>185</v>
      </c>
      <c r="G20" t="s">
        <v>186</v>
      </c>
      <c r="H20">
        <v>1</v>
      </c>
      <c r="I20">
        <v>400</v>
      </c>
      <c r="J20">
        <v>10</v>
      </c>
      <c r="K20" t="s">
        <v>187</v>
      </c>
      <c r="L20" t="s">
        <v>516</v>
      </c>
      <c r="M20">
        <v>1.5</v>
      </c>
      <c r="N20">
        <v>0.5546875</v>
      </c>
      <c r="O20">
        <v>0.5546875</v>
      </c>
      <c r="P20" t="s">
        <v>517</v>
      </c>
      <c r="Q20">
        <v>0</v>
      </c>
      <c r="R20" t="s">
        <v>194</v>
      </c>
      <c r="T20">
        <v>109600.30959999999</v>
      </c>
      <c r="U20">
        <v>109734.515</v>
      </c>
      <c r="V20">
        <v>237769</v>
      </c>
      <c r="W20">
        <v>29086.546020000002</v>
      </c>
      <c r="X20">
        <v>0.26538744399999997</v>
      </c>
      <c r="Y20">
        <v>45.26123999</v>
      </c>
      <c r="Z20">
        <v>1.2465182E-2</v>
      </c>
      <c r="AA20">
        <v>5.5207678000000003E-2</v>
      </c>
      <c r="AB20">
        <v>2.6262345310000001</v>
      </c>
      <c r="AC20">
        <v>0.38077330399999998</v>
      </c>
      <c r="AD20">
        <v>1.6262345309999999</v>
      </c>
      <c r="AE20" t="s">
        <v>518</v>
      </c>
      <c r="AF20" t="s">
        <v>519</v>
      </c>
      <c r="AG20" t="s">
        <v>520</v>
      </c>
      <c r="AH20" t="s">
        <v>193</v>
      </c>
      <c r="AI20" t="s">
        <v>193</v>
      </c>
      <c r="AJ20" t="s">
        <v>193</v>
      </c>
      <c r="AK20" t="s">
        <v>193</v>
      </c>
      <c r="AL20" t="s">
        <v>193</v>
      </c>
      <c r="AM20" t="s">
        <v>193</v>
      </c>
      <c r="AN20" t="s">
        <v>193</v>
      </c>
      <c r="AO20" t="s">
        <v>193</v>
      </c>
      <c r="AP20" t="s">
        <v>193</v>
      </c>
      <c r="AQ20">
        <v>0.13605707</v>
      </c>
      <c r="AR20" t="s">
        <v>193</v>
      </c>
      <c r="AS20" t="s">
        <v>193</v>
      </c>
      <c r="AT20">
        <v>112.8807206</v>
      </c>
      <c r="AU20" t="s">
        <v>193</v>
      </c>
      <c r="AV20" s="2">
        <v>116000000</v>
      </c>
      <c r="AW20">
        <v>44.23182164</v>
      </c>
      <c r="AX20">
        <v>8135.6813549999997</v>
      </c>
      <c r="AY20">
        <v>-1.691929934</v>
      </c>
      <c r="AZ20">
        <v>54.166717749999997</v>
      </c>
      <c r="BA20">
        <v>49</v>
      </c>
      <c r="BB20">
        <v>-1018</v>
      </c>
      <c r="BC20">
        <v>-17</v>
      </c>
      <c r="BD20">
        <v>18</v>
      </c>
      <c r="BE20">
        <v>49</v>
      </c>
      <c r="BF20">
        <v>82</v>
      </c>
      <c r="BG20">
        <v>116</v>
      </c>
      <c r="BH20">
        <v>90.198011919999999</v>
      </c>
      <c r="BI20">
        <v>3067</v>
      </c>
      <c r="BJ20">
        <v>64</v>
      </c>
      <c r="BK20">
        <v>4085</v>
      </c>
      <c r="BL20">
        <v>50.255635130000002</v>
      </c>
      <c r="BM20">
        <v>27.064871830000001</v>
      </c>
      <c r="BN20">
        <v>50.039462669999999</v>
      </c>
      <c r="BO20">
        <v>2.0392108800000002</v>
      </c>
      <c r="BP20">
        <v>0.64</v>
      </c>
      <c r="BQ20" t="s">
        <v>194</v>
      </c>
      <c r="BR20" s="2">
        <v>2400000000</v>
      </c>
      <c r="BS20">
        <v>100.4596207</v>
      </c>
      <c r="BT20">
        <v>4853.7574949999998</v>
      </c>
      <c r="BU20">
        <v>140488.64559999999</v>
      </c>
      <c r="BV20">
        <v>0.52936035199999998</v>
      </c>
      <c r="BW20">
        <v>115.1525726</v>
      </c>
      <c r="BX20">
        <v>1.028722168</v>
      </c>
      <c r="BY20">
        <v>90.059272770000007</v>
      </c>
      <c r="BZ20">
        <v>66.601585389999997</v>
      </c>
      <c r="CA20" t="s">
        <v>521</v>
      </c>
      <c r="CB20" t="s">
        <v>522</v>
      </c>
      <c r="CC20" t="s">
        <v>523</v>
      </c>
      <c r="CD20" t="s">
        <v>524</v>
      </c>
      <c r="CE20" t="s">
        <v>525</v>
      </c>
      <c r="CF20" t="s">
        <v>526</v>
      </c>
      <c r="CG20" t="s">
        <v>527</v>
      </c>
      <c r="CH20">
        <v>104.97378550000001</v>
      </c>
      <c r="CI20">
        <v>81.388556140000006</v>
      </c>
      <c r="CJ20">
        <v>-1.706859269</v>
      </c>
      <c r="CK20">
        <v>53.239922900000003</v>
      </c>
      <c r="CL20">
        <v>105</v>
      </c>
      <c r="CM20">
        <v>1</v>
      </c>
      <c r="CN20">
        <v>99</v>
      </c>
      <c r="CO20">
        <v>102</v>
      </c>
      <c r="CP20">
        <v>105</v>
      </c>
      <c r="CQ20">
        <v>109</v>
      </c>
      <c r="CR20">
        <v>112</v>
      </c>
      <c r="CS20">
        <v>9.0215606269999995</v>
      </c>
      <c r="CT20">
        <v>400</v>
      </c>
      <c r="CU20">
        <v>105</v>
      </c>
      <c r="CV20">
        <v>7</v>
      </c>
      <c r="CW20">
        <v>399</v>
      </c>
      <c r="CX20">
        <v>5.0200466539999997</v>
      </c>
      <c r="CY20">
        <v>2.7936701089999998</v>
      </c>
      <c r="CZ20">
        <v>5.01566226</v>
      </c>
      <c r="DA20">
        <v>8.5941081000000002E-2</v>
      </c>
      <c r="DB20">
        <v>3.3175354999999997E-2</v>
      </c>
      <c r="DC20">
        <v>1.402282327</v>
      </c>
      <c r="DD20">
        <v>4.6582810590000001</v>
      </c>
      <c r="DE20">
        <v>1049.7378550000001</v>
      </c>
      <c r="DF20">
        <v>5.5421972E-2</v>
      </c>
      <c r="DG20" s="2">
        <v>4.8299999999999998E-4</v>
      </c>
      <c r="DH20">
        <v>3016</v>
      </c>
      <c r="DI20">
        <v>102</v>
      </c>
      <c r="DJ20">
        <v>-2649</v>
      </c>
      <c r="DK20">
        <v>109</v>
      </c>
      <c r="DL20">
        <v>0.52936035199999998</v>
      </c>
      <c r="DM20">
        <v>115.1525726</v>
      </c>
      <c r="DN20">
        <v>1.028722168</v>
      </c>
      <c r="DO20">
        <v>90.059272770000007</v>
      </c>
      <c r="DP20">
        <v>66.601585389999997</v>
      </c>
      <c r="DQ20" t="s">
        <v>528</v>
      </c>
      <c r="DR20" t="s">
        <v>529</v>
      </c>
      <c r="DS20" t="s">
        <v>530</v>
      </c>
      <c r="DT20" t="s">
        <v>531</v>
      </c>
      <c r="DU20" t="s">
        <v>525</v>
      </c>
      <c r="DV20" t="s">
        <v>526</v>
      </c>
      <c r="DW20" t="s">
        <v>532</v>
      </c>
      <c r="DX20">
        <v>1.1441372E-2</v>
      </c>
      <c r="DY20">
        <v>105.3873521</v>
      </c>
      <c r="DZ20">
        <v>52.005504670000001</v>
      </c>
      <c r="EA20">
        <v>8.6190210730000008</v>
      </c>
      <c r="EB20">
        <v>2.5945838760000002</v>
      </c>
      <c r="EC20">
        <v>3.8444638599999998</v>
      </c>
      <c r="ED20">
        <v>24.58233989</v>
      </c>
      <c r="EE20">
        <v>8.6190210730000008</v>
      </c>
      <c r="EF20">
        <v>210.77470410000001</v>
      </c>
      <c r="EG20">
        <v>168.6597764</v>
      </c>
      <c r="EH20">
        <v>8.6190210730000008</v>
      </c>
      <c r="EI20">
        <v>4.7856720000000004E-3</v>
      </c>
      <c r="EJ20">
        <v>39.362242260000002</v>
      </c>
      <c r="EK20">
        <v>3.8444638599999998</v>
      </c>
      <c r="EL20">
        <v>0.35410620700000001</v>
      </c>
      <c r="EM20">
        <v>0.99062107700000002</v>
      </c>
      <c r="EN20">
        <v>0.26760039099999999</v>
      </c>
      <c r="EO20">
        <v>0.99975561199999996</v>
      </c>
      <c r="EP20" t="s">
        <v>194</v>
      </c>
      <c r="EQ20">
        <v>0.62155696299999996</v>
      </c>
      <c r="ER20">
        <v>11138.818359999999</v>
      </c>
      <c r="ES20">
        <v>168.6597764</v>
      </c>
      <c r="ET20">
        <v>-4209.4789060000003</v>
      </c>
      <c r="EU20">
        <v>1436877.42</v>
      </c>
      <c r="EV20">
        <v>0.92770823400000002</v>
      </c>
      <c r="EW20">
        <v>1.3537459970000001</v>
      </c>
      <c r="EX20" s="2">
        <v>1.6100000000000001E-4</v>
      </c>
      <c r="EY20">
        <v>11092.36521</v>
      </c>
      <c r="EZ20" s="2">
        <v>1.4899999999999999E-4</v>
      </c>
      <c r="FA20">
        <v>10283.94152</v>
      </c>
      <c r="FB20" s="2">
        <v>2.4000000000000001E-4</v>
      </c>
      <c r="FC20">
        <v>15046.597449999999</v>
      </c>
      <c r="FD20">
        <v>11575.2258</v>
      </c>
      <c r="FE20">
        <v>178397.2408</v>
      </c>
      <c r="FF20">
        <v>0.90394490800000005</v>
      </c>
      <c r="FG20" s="2">
        <v>4.07E-5</v>
      </c>
      <c r="FH20">
        <v>1.182218E-2</v>
      </c>
      <c r="FI20">
        <v>0.67494259899999998</v>
      </c>
      <c r="FJ20">
        <v>56260.799509999997</v>
      </c>
      <c r="FK20">
        <v>3.5780066910000001</v>
      </c>
      <c r="FL20">
        <v>0.65772066200000001</v>
      </c>
      <c r="FM20">
        <v>2228.55861</v>
      </c>
      <c r="FN20" s="2">
        <v>1.74E-4</v>
      </c>
      <c r="FO20">
        <v>10843.07655</v>
      </c>
      <c r="FP20" s="2">
        <v>1.22E-4</v>
      </c>
      <c r="FQ20">
        <v>6998.730869</v>
      </c>
      <c r="FR20">
        <v>0.20656301899999999</v>
      </c>
      <c r="FS20" s="2">
        <v>24400000</v>
      </c>
      <c r="FT20">
        <v>1956.950006</v>
      </c>
      <c r="FU20">
        <v>3.1518972999999999E-2</v>
      </c>
      <c r="FV20">
        <v>24832.303309999999</v>
      </c>
      <c r="FW20">
        <v>0.39995334500000002</v>
      </c>
      <c r="FX20">
        <v>0.26112739699999998</v>
      </c>
      <c r="FY20">
        <v>230.64891470000001</v>
      </c>
      <c r="FZ20">
        <v>2213.8931699999998</v>
      </c>
      <c r="GA20">
        <v>7.629071562</v>
      </c>
    </row>
    <row r="21" spans="1:183" x14ac:dyDescent="0.2">
      <c r="A21" t="s">
        <v>2459</v>
      </c>
      <c r="B21" t="s">
        <v>182</v>
      </c>
      <c r="C21" t="s">
        <v>533</v>
      </c>
      <c r="D21" s="1">
        <v>43692</v>
      </c>
      <c r="E21" t="s">
        <v>362</v>
      </c>
      <c r="F21" t="s">
        <v>185</v>
      </c>
      <c r="G21" t="s">
        <v>186</v>
      </c>
      <c r="H21">
        <v>1</v>
      </c>
      <c r="I21">
        <v>400</v>
      </c>
      <c r="J21">
        <v>10</v>
      </c>
      <c r="K21" t="s">
        <v>187</v>
      </c>
      <c r="L21" t="s">
        <v>534</v>
      </c>
      <c r="M21">
        <v>2</v>
      </c>
      <c r="N21">
        <v>0.6640625</v>
      </c>
      <c r="O21">
        <v>0.6640625</v>
      </c>
      <c r="P21" t="s">
        <v>535</v>
      </c>
      <c r="Q21">
        <v>0</v>
      </c>
      <c r="R21" t="s">
        <v>194</v>
      </c>
      <c r="T21">
        <v>218441.63219999999</v>
      </c>
      <c r="U21">
        <v>218606.52160000001</v>
      </c>
      <c r="V21">
        <v>247865</v>
      </c>
      <c r="W21">
        <v>34109.060429999998</v>
      </c>
      <c r="X21">
        <v>0.15614725099999999</v>
      </c>
      <c r="Y21">
        <v>28.838271200000001</v>
      </c>
      <c r="Z21">
        <v>1.9563918E-2</v>
      </c>
      <c r="AA21">
        <v>0.13599217799999999</v>
      </c>
      <c r="AB21">
        <v>1.944592874</v>
      </c>
      <c r="AC21">
        <v>0.51424645899999999</v>
      </c>
      <c r="AD21">
        <v>0.94459287400000003</v>
      </c>
      <c r="AE21" t="s">
        <v>536</v>
      </c>
      <c r="AF21" t="s">
        <v>537</v>
      </c>
      <c r="AG21" t="s">
        <v>538</v>
      </c>
      <c r="AH21" t="s">
        <v>193</v>
      </c>
      <c r="AI21" t="s">
        <v>193</v>
      </c>
      <c r="AJ21" t="s">
        <v>193</v>
      </c>
      <c r="AK21" t="s">
        <v>193</v>
      </c>
      <c r="AL21" t="s">
        <v>193</v>
      </c>
      <c r="AM21" t="s">
        <v>193</v>
      </c>
      <c r="AN21" t="s">
        <v>193</v>
      </c>
      <c r="AO21" t="s">
        <v>193</v>
      </c>
      <c r="AP21" t="s">
        <v>193</v>
      </c>
      <c r="AQ21">
        <v>0.11562781499999999</v>
      </c>
      <c r="AR21" t="s">
        <v>193</v>
      </c>
      <c r="AS21" t="s">
        <v>193</v>
      </c>
      <c r="AT21">
        <v>120.6565719</v>
      </c>
      <c r="AU21" t="s">
        <v>193</v>
      </c>
      <c r="AV21" s="2">
        <v>236000000</v>
      </c>
      <c r="AW21">
        <v>66.377600709999996</v>
      </c>
      <c r="AX21">
        <v>3922.0657809999998</v>
      </c>
      <c r="AY21">
        <v>-6.130938381</v>
      </c>
      <c r="AZ21">
        <v>82.372206649999995</v>
      </c>
      <c r="BA21">
        <v>73</v>
      </c>
      <c r="BB21">
        <v>-1012</v>
      </c>
      <c r="BC21">
        <v>45</v>
      </c>
      <c r="BD21">
        <v>60</v>
      </c>
      <c r="BE21">
        <v>73</v>
      </c>
      <c r="BF21">
        <v>86</v>
      </c>
      <c r="BG21">
        <v>98</v>
      </c>
      <c r="BH21">
        <v>62.626398440000003</v>
      </c>
      <c r="BI21">
        <v>1390</v>
      </c>
      <c r="BJ21">
        <v>26</v>
      </c>
      <c r="BK21">
        <v>2402</v>
      </c>
      <c r="BL21">
        <v>24.550300750000002</v>
      </c>
      <c r="BM21">
        <v>11.238201070000001</v>
      </c>
      <c r="BN21">
        <v>23.539906800000001</v>
      </c>
      <c r="BO21">
        <v>0.94348692599999995</v>
      </c>
      <c r="BP21">
        <v>0.178082192</v>
      </c>
      <c r="BQ21" t="s">
        <v>194</v>
      </c>
      <c r="BR21" s="2">
        <v>2060000000</v>
      </c>
      <c r="BS21">
        <v>91.258159399999997</v>
      </c>
      <c r="BT21">
        <v>14510.5764</v>
      </c>
      <c r="BU21">
        <v>99626.270550000001</v>
      </c>
      <c r="BV21">
        <v>0.51947326699999996</v>
      </c>
      <c r="BW21">
        <v>260.50933839999999</v>
      </c>
      <c r="BX21">
        <v>1.053939819</v>
      </c>
      <c r="BY21">
        <v>170.94058229999999</v>
      </c>
      <c r="BZ21">
        <v>166.63012699999999</v>
      </c>
      <c r="CA21" t="s">
        <v>539</v>
      </c>
      <c r="CB21" t="s">
        <v>540</v>
      </c>
      <c r="CC21" t="s">
        <v>541</v>
      </c>
      <c r="CD21" t="s">
        <v>542</v>
      </c>
      <c r="CE21" t="s">
        <v>543</v>
      </c>
      <c r="CF21" t="s">
        <v>544</v>
      </c>
      <c r="CG21" t="s">
        <v>545</v>
      </c>
      <c r="CH21">
        <v>107.1883646</v>
      </c>
      <c r="CI21">
        <v>39.302154170000001</v>
      </c>
      <c r="CJ21">
        <v>-6.1081844930000004</v>
      </c>
      <c r="CK21">
        <v>81.951895960000002</v>
      </c>
      <c r="CL21">
        <v>108</v>
      </c>
      <c r="CM21">
        <v>1</v>
      </c>
      <c r="CN21">
        <v>105</v>
      </c>
      <c r="CO21">
        <v>107</v>
      </c>
      <c r="CP21">
        <v>108</v>
      </c>
      <c r="CQ21">
        <v>109</v>
      </c>
      <c r="CR21">
        <v>110</v>
      </c>
      <c r="CS21">
        <v>6.2691430170000002</v>
      </c>
      <c r="CT21">
        <v>240</v>
      </c>
      <c r="CU21">
        <v>108</v>
      </c>
      <c r="CV21">
        <v>2</v>
      </c>
      <c r="CW21">
        <v>239</v>
      </c>
      <c r="CX21">
        <v>2.4696919409999998</v>
      </c>
      <c r="CY21">
        <v>1.2040909369999999</v>
      </c>
      <c r="CZ21">
        <v>2.3390555339999999</v>
      </c>
      <c r="DA21">
        <v>5.8487160000000003E-2</v>
      </c>
      <c r="DB21">
        <v>9.2592590000000006E-3</v>
      </c>
      <c r="DC21">
        <v>1.006410155</v>
      </c>
      <c r="DD21">
        <v>3.343222168</v>
      </c>
      <c r="DE21">
        <v>1071.883646</v>
      </c>
      <c r="DF21">
        <v>0.13682370799999999</v>
      </c>
      <c r="DG21" s="2">
        <v>7.4299999999999995E-4</v>
      </c>
      <c r="DH21">
        <v>13961</v>
      </c>
      <c r="DI21">
        <v>106</v>
      </c>
      <c r="DJ21">
        <v>-15860.5</v>
      </c>
      <c r="DK21">
        <v>110</v>
      </c>
      <c r="DL21">
        <v>0.51947326699999996</v>
      </c>
      <c r="DM21">
        <v>260.50933839999999</v>
      </c>
      <c r="DN21">
        <v>1.053939819</v>
      </c>
      <c r="DO21">
        <v>170.94058229999999</v>
      </c>
      <c r="DP21">
        <v>166.63012699999999</v>
      </c>
      <c r="DQ21" t="s">
        <v>546</v>
      </c>
      <c r="DR21" t="s">
        <v>547</v>
      </c>
      <c r="DS21" t="s">
        <v>548</v>
      </c>
      <c r="DT21" t="s">
        <v>549</v>
      </c>
      <c r="DU21" t="s">
        <v>543</v>
      </c>
      <c r="DV21" t="s">
        <v>544</v>
      </c>
      <c r="DW21" t="s">
        <v>550</v>
      </c>
      <c r="DX21">
        <v>6.1254532E-2</v>
      </c>
      <c r="DY21">
        <v>107.572784</v>
      </c>
      <c r="DZ21">
        <v>23.223624780000002</v>
      </c>
      <c r="EA21">
        <v>6.0275923589999998</v>
      </c>
      <c r="EB21">
        <v>1.814486102</v>
      </c>
      <c r="EC21">
        <v>1.7930415420000001</v>
      </c>
      <c r="ED21">
        <v>15.48236202</v>
      </c>
      <c r="EE21">
        <v>6.0275923589999998</v>
      </c>
      <c r="EF21">
        <v>215.145568</v>
      </c>
      <c r="EG21">
        <v>74.197139129999996</v>
      </c>
      <c r="EH21">
        <v>6.0275923589999998</v>
      </c>
      <c r="EI21">
        <v>2.7842149E-2</v>
      </c>
      <c r="EJ21">
        <v>18.697359989999999</v>
      </c>
      <c r="EK21">
        <v>1.7930415420000001</v>
      </c>
      <c r="EL21">
        <v>0.54427035700000004</v>
      </c>
      <c r="EM21">
        <v>0.99281474000000003</v>
      </c>
      <c r="EN21">
        <v>0.49723623</v>
      </c>
      <c r="EO21">
        <v>0.999684562</v>
      </c>
      <c r="EP21">
        <v>6.2161517999999999E-2</v>
      </c>
      <c r="EQ21">
        <v>0.59744957600000004</v>
      </c>
      <c r="ER21">
        <v>11585.77881</v>
      </c>
      <c r="ES21">
        <v>74.197139129999996</v>
      </c>
      <c r="ET21">
        <v>-3107.0019649999999</v>
      </c>
      <c r="EU21">
        <v>668730.57609999995</v>
      </c>
      <c r="EV21">
        <v>0.82355139200000005</v>
      </c>
      <c r="EW21">
        <v>2.1658430399999999</v>
      </c>
      <c r="EX21" s="2">
        <v>1.13E-4</v>
      </c>
      <c r="EY21">
        <v>11489.076650000001</v>
      </c>
      <c r="EZ21" s="2">
        <v>9.7E-5</v>
      </c>
      <c r="FA21">
        <v>9432.3212280000007</v>
      </c>
      <c r="FB21" s="2">
        <v>2.14E-4</v>
      </c>
      <c r="FC21">
        <v>25080.610079999999</v>
      </c>
      <c r="FD21">
        <v>24316.711070000001</v>
      </c>
      <c r="FE21">
        <v>121507.3006</v>
      </c>
      <c r="FF21">
        <v>0.76774453799999998</v>
      </c>
      <c r="FG21" s="2">
        <v>3.4400000000000003E-5</v>
      </c>
      <c r="FH21">
        <v>2.5792649999999999E-3</v>
      </c>
      <c r="FI21">
        <v>0.69248292300000003</v>
      </c>
      <c r="FJ21">
        <v>28407.918129999998</v>
      </c>
      <c r="FK21">
        <v>4.6280918800000004</v>
      </c>
      <c r="FL21">
        <v>0.71474083899999996</v>
      </c>
      <c r="FM21">
        <v>125065.91439999999</v>
      </c>
      <c r="FN21" s="2">
        <v>2.7300000000000002E-4</v>
      </c>
      <c r="FO21">
        <v>10235.014999999999</v>
      </c>
      <c r="FP21" s="2">
        <v>2.0000000000000001E-4</v>
      </c>
      <c r="FQ21">
        <v>7007.010792</v>
      </c>
      <c r="FR21">
        <v>10.684639710000001</v>
      </c>
      <c r="FS21" s="2">
        <v>1470000000</v>
      </c>
      <c r="FT21">
        <v>819.52291309999998</v>
      </c>
      <c r="FU21">
        <v>3.9657533000000002E-2</v>
      </c>
      <c r="FV21">
        <v>9767.1545609999994</v>
      </c>
      <c r="FW21">
        <v>0.47264236900000001</v>
      </c>
      <c r="FX21">
        <v>8.3371997000000003E-2</v>
      </c>
      <c r="FY21">
        <v>339.66115350000001</v>
      </c>
      <c r="FZ21">
        <v>332759.80719999998</v>
      </c>
      <c r="GA21">
        <v>7.1650141270000001</v>
      </c>
    </row>
    <row r="22" spans="1:183" x14ac:dyDescent="0.2">
      <c r="A22" t="s">
        <v>2460</v>
      </c>
      <c r="B22" t="s">
        <v>182</v>
      </c>
      <c r="C22" t="s">
        <v>551</v>
      </c>
      <c r="D22" s="1">
        <v>43681</v>
      </c>
      <c r="E22" t="s">
        <v>552</v>
      </c>
      <c r="F22" t="s">
        <v>185</v>
      </c>
      <c r="G22" t="s">
        <v>186</v>
      </c>
      <c r="H22">
        <v>1</v>
      </c>
      <c r="I22">
        <v>400</v>
      </c>
      <c r="J22">
        <v>10</v>
      </c>
      <c r="K22" t="s">
        <v>187</v>
      </c>
      <c r="L22" t="s">
        <v>553</v>
      </c>
      <c r="M22">
        <v>5</v>
      </c>
      <c r="N22">
        <v>0.73828125</v>
      </c>
      <c r="O22">
        <v>0.73828125</v>
      </c>
      <c r="P22" t="s">
        <v>554</v>
      </c>
      <c r="Q22">
        <v>0</v>
      </c>
      <c r="R22" t="s">
        <v>194</v>
      </c>
      <c r="T22">
        <v>92095.47421</v>
      </c>
      <c r="U22">
        <v>92395.710980000003</v>
      </c>
      <c r="V22">
        <v>33903</v>
      </c>
      <c r="W22">
        <v>16044.9175</v>
      </c>
      <c r="X22">
        <v>0.17422047800000001</v>
      </c>
      <c r="Y22">
        <v>22.068252480000002</v>
      </c>
      <c r="Z22">
        <v>2.5565667E-2</v>
      </c>
      <c r="AA22">
        <v>0.23222901800000001</v>
      </c>
      <c r="AB22">
        <v>1.62690117</v>
      </c>
      <c r="AC22">
        <v>0.61466548700000001</v>
      </c>
      <c r="AD22">
        <v>0.62690117000000001</v>
      </c>
      <c r="AE22" t="s">
        <v>555</v>
      </c>
      <c r="AF22" t="s">
        <v>556</v>
      </c>
      <c r="AG22" t="s">
        <v>557</v>
      </c>
      <c r="AH22" t="s">
        <v>193</v>
      </c>
      <c r="AI22" t="s">
        <v>193</v>
      </c>
      <c r="AJ22" t="s">
        <v>193</v>
      </c>
      <c r="AK22" t="s">
        <v>193</v>
      </c>
      <c r="AL22" t="s">
        <v>193</v>
      </c>
      <c r="AM22" t="s">
        <v>193</v>
      </c>
      <c r="AN22" t="s">
        <v>193</v>
      </c>
      <c r="AO22" t="s">
        <v>193</v>
      </c>
      <c r="AP22" t="s">
        <v>193</v>
      </c>
      <c r="AQ22">
        <v>0.12631759400000001</v>
      </c>
      <c r="AR22" t="s">
        <v>193</v>
      </c>
      <c r="AS22" t="s">
        <v>193</v>
      </c>
      <c r="AT22">
        <v>85.976606599999997</v>
      </c>
      <c r="AU22" t="s">
        <v>193</v>
      </c>
      <c r="AV22" s="2">
        <v>78800000</v>
      </c>
      <c r="AW22">
        <v>50.60484323</v>
      </c>
      <c r="AX22">
        <v>2457.9274129999999</v>
      </c>
      <c r="AY22">
        <v>-5.5460537490000004</v>
      </c>
      <c r="AZ22">
        <v>66.994367740000001</v>
      </c>
      <c r="BA22">
        <v>56</v>
      </c>
      <c r="BB22">
        <v>-805</v>
      </c>
      <c r="BC22">
        <v>19</v>
      </c>
      <c r="BD22">
        <v>40</v>
      </c>
      <c r="BE22">
        <v>56</v>
      </c>
      <c r="BF22">
        <v>71</v>
      </c>
      <c r="BG22">
        <v>86</v>
      </c>
      <c r="BH22">
        <v>49.577488969999997</v>
      </c>
      <c r="BI22">
        <v>528</v>
      </c>
      <c r="BJ22">
        <v>31</v>
      </c>
      <c r="BK22">
        <v>1333</v>
      </c>
      <c r="BL22">
        <v>25.84722434</v>
      </c>
      <c r="BM22">
        <v>13.51993558</v>
      </c>
      <c r="BN22">
        <v>25.321122020000001</v>
      </c>
      <c r="BO22">
        <v>0.97969849899999994</v>
      </c>
      <c r="BP22">
        <v>0.27927927899999999</v>
      </c>
      <c r="BQ22" t="s">
        <v>194</v>
      </c>
      <c r="BR22" s="2">
        <v>170000000</v>
      </c>
      <c r="BS22">
        <v>70.843331169999999</v>
      </c>
      <c r="BT22">
        <v>4675.6704689999997</v>
      </c>
      <c r="BU22">
        <v>61921.450879999997</v>
      </c>
      <c r="BV22">
        <v>0.553235107</v>
      </c>
      <c r="BW22">
        <v>89.527091979999994</v>
      </c>
      <c r="BX22">
        <v>0.97838128700000004</v>
      </c>
      <c r="BY22">
        <v>82.623954769999997</v>
      </c>
      <c r="BZ22">
        <v>93.380371089999997</v>
      </c>
      <c r="CA22" t="s">
        <v>558</v>
      </c>
      <c r="CB22" t="s">
        <v>559</v>
      </c>
      <c r="CC22" t="s">
        <v>560</v>
      </c>
      <c r="CD22" t="s">
        <v>561</v>
      </c>
      <c r="CE22" t="s">
        <v>562</v>
      </c>
      <c r="CF22" t="s">
        <v>563</v>
      </c>
      <c r="CG22" t="s">
        <v>564</v>
      </c>
      <c r="CH22">
        <v>105.60982799999999</v>
      </c>
      <c r="CI22">
        <v>24.676424069999999</v>
      </c>
      <c r="CJ22">
        <v>-5.5146524579999996</v>
      </c>
      <c r="CK22">
        <v>66.504335850000004</v>
      </c>
      <c r="CL22">
        <v>106</v>
      </c>
      <c r="CM22">
        <v>20</v>
      </c>
      <c r="CN22">
        <v>102</v>
      </c>
      <c r="CO22">
        <v>105</v>
      </c>
      <c r="CP22">
        <v>106</v>
      </c>
      <c r="CQ22">
        <v>108</v>
      </c>
      <c r="CR22">
        <v>109</v>
      </c>
      <c r="CS22">
        <v>4.9675370230000002</v>
      </c>
      <c r="CT22">
        <v>153</v>
      </c>
      <c r="CU22">
        <v>106</v>
      </c>
      <c r="CV22">
        <v>3</v>
      </c>
      <c r="CW22">
        <v>133</v>
      </c>
      <c r="CX22">
        <v>2.6101135559999999</v>
      </c>
      <c r="CY22">
        <v>1.4565032520000001</v>
      </c>
      <c r="CZ22">
        <v>2.523788455</v>
      </c>
      <c r="DA22">
        <v>4.7036692999999997E-2</v>
      </c>
      <c r="DB22">
        <v>1.4084507E-2</v>
      </c>
      <c r="DC22">
        <v>1.098831299</v>
      </c>
      <c r="DD22">
        <v>3.6502385629999998</v>
      </c>
      <c r="DE22">
        <v>1056.0982799999999</v>
      </c>
      <c r="DF22">
        <v>0.111555574</v>
      </c>
      <c r="DG22">
        <v>1.8139549999999999E-3</v>
      </c>
      <c r="DH22">
        <v>1532</v>
      </c>
      <c r="DI22">
        <v>104</v>
      </c>
      <c r="DJ22">
        <v>-1592</v>
      </c>
      <c r="DK22">
        <v>108</v>
      </c>
      <c r="DL22">
        <v>0.553235107</v>
      </c>
      <c r="DM22">
        <v>89.527091979999994</v>
      </c>
      <c r="DN22">
        <v>0.97838128700000004</v>
      </c>
      <c r="DO22">
        <v>82.623954769999997</v>
      </c>
      <c r="DP22">
        <v>93.380371089999997</v>
      </c>
      <c r="DQ22" t="s">
        <v>565</v>
      </c>
      <c r="DR22" t="s">
        <v>566</v>
      </c>
      <c r="DS22" t="s">
        <v>567</v>
      </c>
      <c r="DT22" t="s">
        <v>568</v>
      </c>
      <c r="DU22" t="s">
        <v>562</v>
      </c>
      <c r="DV22" t="s">
        <v>563</v>
      </c>
      <c r="DW22" t="s">
        <v>569</v>
      </c>
      <c r="DX22">
        <v>4.2673573999999999E-2</v>
      </c>
      <c r="DY22">
        <v>105.8283314</v>
      </c>
      <c r="DZ22">
        <v>17.36794141</v>
      </c>
      <c r="EA22">
        <v>6.7118741829999999</v>
      </c>
      <c r="EB22">
        <v>2.0204754559999998</v>
      </c>
      <c r="EC22">
        <v>2.2087246189999998</v>
      </c>
      <c r="ED22">
        <v>13.6887662</v>
      </c>
      <c r="EE22">
        <v>6.7118741829999999</v>
      </c>
      <c r="EF22">
        <v>211.65666279999999</v>
      </c>
      <c r="EG22">
        <v>50.21383608</v>
      </c>
      <c r="EH22">
        <v>6.709113908</v>
      </c>
      <c r="EI22">
        <v>1.8766676999999999E-2</v>
      </c>
      <c r="EJ22">
        <v>18.567230639999998</v>
      </c>
      <c r="EK22">
        <v>2.2087246189999998</v>
      </c>
      <c r="EL22">
        <v>0.48846795300000001</v>
      </c>
      <c r="EM22">
        <v>0.98439694499999997</v>
      </c>
      <c r="EN22">
        <v>0.42836548499999999</v>
      </c>
      <c r="EO22">
        <v>0.999022929</v>
      </c>
      <c r="EP22" s="2">
        <v>1.9800000000000001E-6</v>
      </c>
      <c r="EQ22">
        <v>0.46547405400000003</v>
      </c>
      <c r="ER22">
        <v>11207.72005</v>
      </c>
      <c r="ES22">
        <v>50.21383608</v>
      </c>
      <c r="ET22">
        <v>-1896.561911</v>
      </c>
      <c r="EU22">
        <v>201774.96739999999</v>
      </c>
      <c r="EV22">
        <v>0.86635129899999996</v>
      </c>
      <c r="EW22">
        <v>1.8001883540000001</v>
      </c>
      <c r="EX22" s="2">
        <v>9.1600000000000004E-5</v>
      </c>
      <c r="EY22">
        <v>11155.63579</v>
      </c>
      <c r="EZ22" s="2">
        <v>7.9800000000000002E-5</v>
      </c>
      <c r="FA22">
        <v>9648.1130219999995</v>
      </c>
      <c r="FB22" s="2">
        <v>1.63E-4</v>
      </c>
      <c r="FC22">
        <v>20181.787120000001</v>
      </c>
      <c r="FD22">
        <v>2919.8215489999998</v>
      </c>
      <c r="FE22">
        <v>19983.157190000002</v>
      </c>
      <c r="FF22">
        <v>0.82350778999999996</v>
      </c>
      <c r="FG22" s="2">
        <v>2.3900000000000001E-4</v>
      </c>
      <c r="FH22">
        <v>6.0855179999999998E-3</v>
      </c>
      <c r="FI22">
        <v>0.18208782500000001</v>
      </c>
      <c r="FJ22">
        <v>12504.720020000001</v>
      </c>
      <c r="FK22">
        <v>6.7482703559999999</v>
      </c>
      <c r="FL22">
        <v>0.68559075999999997</v>
      </c>
      <c r="FM22">
        <v>18177.09275</v>
      </c>
      <c r="FN22" s="2">
        <v>1.05E-4</v>
      </c>
      <c r="FO22">
        <v>10575.03736</v>
      </c>
      <c r="FP22" s="2">
        <v>7.5300000000000001E-5</v>
      </c>
      <c r="FQ22">
        <v>7088.7596350000003</v>
      </c>
      <c r="FR22">
        <v>1.6093736009999999</v>
      </c>
      <c r="FS22" s="2">
        <v>205000000</v>
      </c>
      <c r="FT22">
        <v>202.40356209999999</v>
      </c>
      <c r="FU22">
        <v>4.3962545999999998E-2</v>
      </c>
      <c r="FV22">
        <v>2000.035187</v>
      </c>
      <c r="FW22">
        <v>0.43441250799999998</v>
      </c>
      <c r="FX22">
        <v>0.13579919200000001</v>
      </c>
      <c r="FY22">
        <v>123.03946910000001</v>
      </c>
      <c r="FZ22">
        <v>18122.866989999999</v>
      </c>
      <c r="GA22">
        <v>6.884022893</v>
      </c>
    </row>
    <row r="23" spans="1:183" x14ac:dyDescent="0.2">
      <c r="A23" t="s">
        <v>2461</v>
      </c>
      <c r="B23" t="s">
        <v>182</v>
      </c>
      <c r="C23" t="s">
        <v>570</v>
      </c>
      <c r="D23" s="1">
        <v>43711</v>
      </c>
      <c r="E23" t="s">
        <v>571</v>
      </c>
      <c r="F23" t="s">
        <v>185</v>
      </c>
      <c r="G23" t="s">
        <v>186</v>
      </c>
      <c r="H23">
        <v>1</v>
      </c>
      <c r="I23">
        <v>400</v>
      </c>
      <c r="J23">
        <v>10</v>
      </c>
      <c r="K23" t="s">
        <v>187</v>
      </c>
      <c r="L23" t="s">
        <v>572</v>
      </c>
      <c r="M23">
        <v>2</v>
      </c>
      <c r="N23">
        <v>0.748046875</v>
      </c>
      <c r="O23">
        <v>0.748046875</v>
      </c>
      <c r="P23" t="s">
        <v>573</v>
      </c>
      <c r="Q23">
        <v>0</v>
      </c>
      <c r="R23" t="s">
        <v>194</v>
      </c>
      <c r="T23">
        <v>82190.993900000001</v>
      </c>
      <c r="U23">
        <v>82335.737080000006</v>
      </c>
      <c r="V23">
        <v>73570</v>
      </c>
      <c r="W23">
        <v>19390.849129999999</v>
      </c>
      <c r="X23">
        <v>0.235924257</v>
      </c>
      <c r="Y23">
        <v>32.852695529999998</v>
      </c>
      <c r="Z23">
        <v>1.7173312E-2</v>
      </c>
      <c r="AA23">
        <v>0.10478771200000001</v>
      </c>
      <c r="AB23">
        <v>2.1211101129999999</v>
      </c>
      <c r="AC23">
        <v>0.47145124300000002</v>
      </c>
      <c r="AD23">
        <v>1.1211101130000001</v>
      </c>
      <c r="AE23" t="s">
        <v>574</v>
      </c>
      <c r="AF23" t="s">
        <v>575</v>
      </c>
      <c r="AG23" t="s">
        <v>576</v>
      </c>
      <c r="AH23" t="s">
        <v>193</v>
      </c>
      <c r="AI23" t="s">
        <v>193</v>
      </c>
      <c r="AJ23" t="s">
        <v>193</v>
      </c>
      <c r="AK23" t="s">
        <v>193</v>
      </c>
      <c r="AL23" t="s">
        <v>193</v>
      </c>
      <c r="AM23" t="s">
        <v>193</v>
      </c>
      <c r="AN23" t="s">
        <v>193</v>
      </c>
      <c r="AO23" t="s">
        <v>193</v>
      </c>
      <c r="AP23" t="s">
        <v>193</v>
      </c>
      <c r="AQ23">
        <v>7.9608999E-2</v>
      </c>
      <c r="AR23" t="s">
        <v>193</v>
      </c>
      <c r="AS23" t="s">
        <v>193</v>
      </c>
      <c r="AT23">
        <v>82.130175109999996</v>
      </c>
      <c r="AU23" t="s">
        <v>193</v>
      </c>
      <c r="AV23" s="2">
        <v>82000000</v>
      </c>
      <c r="AW23">
        <v>25.731330710000002</v>
      </c>
      <c r="AX23">
        <v>6901.4644209999997</v>
      </c>
      <c r="AY23">
        <v>-4.7654825750000001</v>
      </c>
      <c r="AZ23">
        <v>30.919437210000002</v>
      </c>
      <c r="BA23">
        <v>43</v>
      </c>
      <c r="BB23">
        <v>-972</v>
      </c>
      <c r="BC23">
        <v>-25</v>
      </c>
      <c r="BD23">
        <v>22</v>
      </c>
      <c r="BE23">
        <v>43</v>
      </c>
      <c r="BF23">
        <v>61</v>
      </c>
      <c r="BG23">
        <v>76</v>
      </c>
      <c r="BH23">
        <v>83.075052940000006</v>
      </c>
      <c r="BI23">
        <v>393</v>
      </c>
      <c r="BJ23">
        <v>39</v>
      </c>
      <c r="BK23">
        <v>1365</v>
      </c>
      <c r="BL23">
        <v>42.715575350000002</v>
      </c>
      <c r="BM23">
        <v>17.58611518</v>
      </c>
      <c r="BN23">
        <v>38.688106570000002</v>
      </c>
      <c r="BO23">
        <v>3.2285564199999999</v>
      </c>
      <c r="BP23">
        <v>0.469879518</v>
      </c>
      <c r="BQ23" t="s">
        <v>194</v>
      </c>
      <c r="BR23" s="2">
        <v>556000000</v>
      </c>
      <c r="BS23">
        <v>86.968763370000005</v>
      </c>
      <c r="BT23">
        <v>2118.60808</v>
      </c>
      <c r="BU23">
        <v>32926.833839999999</v>
      </c>
      <c r="BV23">
        <v>0.48011459400000001</v>
      </c>
      <c r="BW23">
        <v>73.736595149999999</v>
      </c>
      <c r="BX23">
        <v>1.0329738770000001</v>
      </c>
      <c r="BY23">
        <v>71.278442380000001</v>
      </c>
      <c r="BZ23">
        <v>25.32989693</v>
      </c>
      <c r="CA23" t="s">
        <v>577</v>
      </c>
      <c r="CB23" t="s">
        <v>578</v>
      </c>
      <c r="CC23" t="s">
        <v>579</v>
      </c>
      <c r="CD23" t="s">
        <v>580</v>
      </c>
      <c r="CE23" t="s">
        <v>581</v>
      </c>
      <c r="CF23" t="s">
        <v>582</v>
      </c>
      <c r="CG23" t="s">
        <v>583</v>
      </c>
      <c r="CH23">
        <v>103.1214897</v>
      </c>
      <c r="CI23">
        <v>69.093164669999993</v>
      </c>
      <c r="CJ23">
        <v>-4.7550804280000003</v>
      </c>
      <c r="CK23">
        <v>30.820414320000001</v>
      </c>
      <c r="CL23">
        <v>105</v>
      </c>
      <c r="CM23">
        <v>3</v>
      </c>
      <c r="CN23">
        <v>98</v>
      </c>
      <c r="CO23">
        <v>103</v>
      </c>
      <c r="CP23">
        <v>105</v>
      </c>
      <c r="CQ23">
        <v>107</v>
      </c>
      <c r="CR23">
        <v>108</v>
      </c>
      <c r="CS23">
        <v>8.3122298249999993</v>
      </c>
      <c r="CT23">
        <v>140</v>
      </c>
      <c r="CU23">
        <v>105</v>
      </c>
      <c r="CV23">
        <v>4</v>
      </c>
      <c r="CW23">
        <v>137</v>
      </c>
      <c r="CX23">
        <v>4.274960654</v>
      </c>
      <c r="CY23">
        <v>1.8548545380000001</v>
      </c>
      <c r="CZ23">
        <v>3.8598341719999998</v>
      </c>
      <c r="DA23">
        <v>8.0606183999999997E-2</v>
      </c>
      <c r="DB23">
        <v>1.9047618999999998E-2</v>
      </c>
      <c r="DC23">
        <v>1.2245552740000001</v>
      </c>
      <c r="DD23">
        <v>4.0678845680000002</v>
      </c>
      <c r="DE23">
        <v>1031.2148970000001</v>
      </c>
      <c r="DF23">
        <v>9.0107388999999996E-2</v>
      </c>
      <c r="DG23">
        <v>1.1067E-3</v>
      </c>
      <c r="DH23">
        <v>2461.5</v>
      </c>
      <c r="DI23">
        <v>103</v>
      </c>
      <c r="DJ23">
        <v>-2603</v>
      </c>
      <c r="DK23">
        <v>108</v>
      </c>
      <c r="DL23">
        <v>0.48011459400000001</v>
      </c>
      <c r="DM23">
        <v>73.736595149999999</v>
      </c>
      <c r="DN23">
        <v>1.0329738770000001</v>
      </c>
      <c r="DO23">
        <v>71.278442380000001</v>
      </c>
      <c r="DP23">
        <v>25.32989693</v>
      </c>
      <c r="DQ23" t="s">
        <v>584</v>
      </c>
      <c r="DR23" t="s">
        <v>585</v>
      </c>
      <c r="DS23" t="s">
        <v>586</v>
      </c>
      <c r="DT23" t="s">
        <v>587</v>
      </c>
      <c r="DU23" t="s">
        <v>581</v>
      </c>
      <c r="DV23" t="s">
        <v>582</v>
      </c>
      <c r="DW23" t="s">
        <v>588</v>
      </c>
      <c r="DX23">
        <v>3.1236606E-2</v>
      </c>
      <c r="DY23">
        <v>103.8953135</v>
      </c>
      <c r="DZ23">
        <v>43.999659690000001</v>
      </c>
      <c r="EA23">
        <v>7.4130832099999999</v>
      </c>
      <c r="EB23">
        <v>2.2315604059999998</v>
      </c>
      <c r="EC23">
        <v>3.1257629979999999</v>
      </c>
      <c r="ED23">
        <v>28.474153040000001</v>
      </c>
      <c r="EE23">
        <v>7.4130832099999999</v>
      </c>
      <c r="EF23">
        <v>207.79062690000001</v>
      </c>
      <c r="EG23">
        <v>137.73118149999999</v>
      </c>
      <c r="EH23">
        <v>7.4129904450000002</v>
      </c>
      <c r="EI23">
        <v>1.2768649999999999E-2</v>
      </c>
      <c r="EJ23">
        <v>38.244547359999999</v>
      </c>
      <c r="EK23">
        <v>3.1257629979999999</v>
      </c>
      <c r="EL23">
        <v>0.42342993699999998</v>
      </c>
      <c r="EM23">
        <v>0.97901802900000001</v>
      </c>
      <c r="EN23">
        <v>0.34951981300000001</v>
      </c>
      <c r="EO23">
        <v>0.99811386999999996</v>
      </c>
      <c r="EP23" s="2">
        <v>4.5899999999999999E-4</v>
      </c>
      <c r="EQ23">
        <v>0.56539950999999999</v>
      </c>
      <c r="ER23">
        <v>10819.11355</v>
      </c>
      <c r="ES23">
        <v>137.73118149999999</v>
      </c>
      <c r="ET23">
        <v>-8328.4143889999996</v>
      </c>
      <c r="EU23">
        <v>825590.3848</v>
      </c>
      <c r="EV23">
        <v>0.89907421600000004</v>
      </c>
      <c r="EW23">
        <v>1.5357755360000001</v>
      </c>
      <c r="EX23" s="2">
        <v>1.05E-4</v>
      </c>
      <c r="EY23">
        <v>10650.56169</v>
      </c>
      <c r="EZ23" s="2">
        <v>9.5600000000000006E-5</v>
      </c>
      <c r="FA23">
        <v>9536.9799700000003</v>
      </c>
      <c r="FB23" s="2">
        <v>1.54E-4</v>
      </c>
      <c r="FC23">
        <v>16566.638439999999</v>
      </c>
      <c r="FD23">
        <v>5359.654477</v>
      </c>
      <c r="FE23">
        <v>49020.128770000003</v>
      </c>
      <c r="FF23">
        <v>0.86507042000000001</v>
      </c>
      <c r="FG23" s="2">
        <v>1.07E-4</v>
      </c>
      <c r="FH23">
        <v>2.1559017E-2</v>
      </c>
      <c r="FI23">
        <v>0.40952088599999997</v>
      </c>
      <c r="FJ23">
        <v>20334.59679</v>
      </c>
      <c r="FK23">
        <v>3.7011118679999999</v>
      </c>
      <c r="FL23">
        <v>0.73796376600000002</v>
      </c>
      <c r="FM23">
        <v>21153.418659999999</v>
      </c>
      <c r="FN23" s="2">
        <v>1.4799999999999999E-4</v>
      </c>
      <c r="FO23">
        <v>9495.023013</v>
      </c>
      <c r="FP23" s="2">
        <v>1.21E-4</v>
      </c>
      <c r="FQ23">
        <v>6748.4816620000001</v>
      </c>
      <c r="FR23">
        <v>1.90337015</v>
      </c>
      <c r="FS23" s="2">
        <v>235000000</v>
      </c>
      <c r="FT23">
        <v>494.015895</v>
      </c>
      <c r="FU23">
        <v>3.4140697999999997E-2</v>
      </c>
      <c r="FV23">
        <v>7300.9313060000004</v>
      </c>
      <c r="FW23">
        <v>0.50455641399999995</v>
      </c>
      <c r="FX23">
        <v>0.19668343099999999</v>
      </c>
      <c r="FY23">
        <v>238.7613064</v>
      </c>
      <c r="FZ23">
        <v>21127.568429999999</v>
      </c>
      <c r="GA23">
        <v>7.0144339699999998</v>
      </c>
    </row>
    <row r="24" spans="1:183" x14ac:dyDescent="0.2">
      <c r="A24" t="s">
        <v>2462</v>
      </c>
      <c r="B24" t="s">
        <v>182</v>
      </c>
      <c r="C24" t="s">
        <v>589</v>
      </c>
      <c r="D24" s="1">
        <v>42832</v>
      </c>
      <c r="E24" t="s">
        <v>362</v>
      </c>
      <c r="F24" t="s">
        <v>185</v>
      </c>
      <c r="G24" t="s">
        <v>186</v>
      </c>
      <c r="H24">
        <v>1</v>
      </c>
      <c r="I24">
        <v>400</v>
      </c>
      <c r="J24">
        <v>10</v>
      </c>
      <c r="K24" t="s">
        <v>187</v>
      </c>
      <c r="L24" t="s">
        <v>590</v>
      </c>
      <c r="M24">
        <v>5</v>
      </c>
      <c r="N24">
        <v>0.671875</v>
      </c>
      <c r="O24">
        <v>0.671875</v>
      </c>
      <c r="P24" t="s">
        <v>591</v>
      </c>
      <c r="Q24">
        <v>0</v>
      </c>
      <c r="R24" t="s">
        <v>194</v>
      </c>
      <c r="T24">
        <v>151604.6832</v>
      </c>
      <c r="U24">
        <v>151856.34770000001</v>
      </c>
      <c r="V24">
        <v>67280</v>
      </c>
      <c r="W24">
        <v>25737.59737</v>
      </c>
      <c r="X24">
        <v>0.16976782500000001</v>
      </c>
      <c r="Y24">
        <v>27.235752990000002</v>
      </c>
      <c r="Z24">
        <v>2.0715035E-2</v>
      </c>
      <c r="AA24">
        <v>0.15246620799999999</v>
      </c>
      <c r="AB24">
        <v>1.8718690630000001</v>
      </c>
      <c r="AC24">
        <v>0.53422540100000004</v>
      </c>
      <c r="AD24">
        <v>0.871869063</v>
      </c>
      <c r="AE24" t="s">
        <v>592</v>
      </c>
      <c r="AF24" t="s">
        <v>593</v>
      </c>
      <c r="AG24" t="s">
        <v>594</v>
      </c>
      <c r="AH24" t="s">
        <v>193</v>
      </c>
      <c r="AI24" t="s">
        <v>193</v>
      </c>
      <c r="AJ24" t="s">
        <v>193</v>
      </c>
      <c r="AK24" t="s">
        <v>193</v>
      </c>
      <c r="AL24" t="s">
        <v>193</v>
      </c>
      <c r="AM24" t="s">
        <v>193</v>
      </c>
      <c r="AN24" t="s">
        <v>193</v>
      </c>
      <c r="AO24" t="s">
        <v>193</v>
      </c>
      <c r="AP24" t="s">
        <v>193</v>
      </c>
      <c r="AQ24">
        <v>0.208809145</v>
      </c>
      <c r="AR24" t="s">
        <v>193</v>
      </c>
      <c r="AS24" t="s">
        <v>193</v>
      </c>
      <c r="AT24">
        <v>107.9127933</v>
      </c>
      <c r="AU24" t="s">
        <v>193</v>
      </c>
      <c r="AV24" s="2">
        <v>163000000</v>
      </c>
      <c r="AW24">
        <v>62.940041620000002</v>
      </c>
      <c r="AX24">
        <v>5478.0943539999998</v>
      </c>
      <c r="AY24">
        <v>-3.5985531179999999</v>
      </c>
      <c r="AZ24">
        <v>32.038396640000002</v>
      </c>
      <c r="BA24">
        <v>64</v>
      </c>
      <c r="BB24">
        <v>-1011</v>
      </c>
      <c r="BC24">
        <v>12</v>
      </c>
      <c r="BD24">
        <v>36</v>
      </c>
      <c r="BE24">
        <v>64</v>
      </c>
      <c r="BF24">
        <v>100</v>
      </c>
      <c r="BG24">
        <v>134</v>
      </c>
      <c r="BH24">
        <v>74.014149689999996</v>
      </c>
      <c r="BI24">
        <v>624</v>
      </c>
      <c r="BJ24">
        <v>64</v>
      </c>
      <c r="BK24">
        <v>1635</v>
      </c>
      <c r="BL24">
        <v>44.773498179999997</v>
      </c>
      <c r="BM24">
        <v>26.44658755</v>
      </c>
      <c r="BN24">
        <v>44.759423310000003</v>
      </c>
      <c r="BO24">
        <v>1.175946945</v>
      </c>
      <c r="BP24">
        <v>0.47058823500000002</v>
      </c>
      <c r="BQ24" t="s">
        <v>194</v>
      </c>
      <c r="BR24" s="2">
        <v>635000000</v>
      </c>
      <c r="BS24">
        <v>97.157311579999998</v>
      </c>
      <c r="BT24">
        <v>9557.8448410000001</v>
      </c>
      <c r="BU24">
        <v>116208.0249</v>
      </c>
      <c r="BV24">
        <v>0.53041381799999998</v>
      </c>
      <c r="BW24">
        <v>195.68084719999999</v>
      </c>
      <c r="BX24">
        <v>1.063084717</v>
      </c>
      <c r="BY24">
        <v>173.19320680000001</v>
      </c>
      <c r="BZ24">
        <v>75.683670039999996</v>
      </c>
      <c r="CA24" t="s">
        <v>595</v>
      </c>
      <c r="CB24" t="s">
        <v>596</v>
      </c>
      <c r="CC24" t="s">
        <v>597</v>
      </c>
      <c r="CD24" t="s">
        <v>598</v>
      </c>
      <c r="CE24" t="s">
        <v>599</v>
      </c>
      <c r="CF24" t="s">
        <v>600</v>
      </c>
      <c r="CG24" t="s">
        <v>601</v>
      </c>
      <c r="CH24">
        <v>106.8433264</v>
      </c>
      <c r="CI24">
        <v>54.853619260000002</v>
      </c>
      <c r="CJ24">
        <v>-3.586778818</v>
      </c>
      <c r="CK24">
        <v>31.86784832</v>
      </c>
      <c r="CL24">
        <v>107</v>
      </c>
      <c r="CM24">
        <v>1</v>
      </c>
      <c r="CN24">
        <v>102</v>
      </c>
      <c r="CO24">
        <v>104</v>
      </c>
      <c r="CP24">
        <v>107</v>
      </c>
      <c r="CQ24">
        <v>111</v>
      </c>
      <c r="CR24">
        <v>114</v>
      </c>
      <c r="CS24">
        <v>7.4063229240000004</v>
      </c>
      <c r="CT24">
        <v>163</v>
      </c>
      <c r="CU24">
        <v>106</v>
      </c>
      <c r="CV24">
        <v>7</v>
      </c>
      <c r="CW24">
        <v>162</v>
      </c>
      <c r="CX24">
        <v>4.4803770030000001</v>
      </c>
      <c r="CY24">
        <v>2.7511892360000001</v>
      </c>
      <c r="CZ24">
        <v>4.4675832340000001</v>
      </c>
      <c r="DA24">
        <v>6.9319471999999993E-2</v>
      </c>
      <c r="DB24">
        <v>3.2558139999999999E-2</v>
      </c>
      <c r="DC24">
        <v>1.3540931199999999</v>
      </c>
      <c r="DD24">
        <v>4.4981999779999997</v>
      </c>
      <c r="DE24">
        <v>1068.433264</v>
      </c>
      <c r="DF24">
        <v>5.9386716999999999E-2</v>
      </c>
      <c r="DG24" s="2">
        <v>9.3999999999999997E-4</v>
      </c>
      <c r="DH24">
        <v>1409.5</v>
      </c>
      <c r="DI24">
        <v>103</v>
      </c>
      <c r="DJ24">
        <v>-643</v>
      </c>
      <c r="DK24">
        <v>108</v>
      </c>
      <c r="DL24">
        <v>0.53041381799999998</v>
      </c>
      <c r="DM24">
        <v>195.68084719999999</v>
      </c>
      <c r="DN24">
        <v>1.063084717</v>
      </c>
      <c r="DO24">
        <v>173.19320680000001</v>
      </c>
      <c r="DP24">
        <v>75.683670039999996</v>
      </c>
      <c r="DQ24" t="s">
        <v>602</v>
      </c>
      <c r="DR24" t="s">
        <v>603</v>
      </c>
      <c r="DS24" t="s">
        <v>604</v>
      </c>
      <c r="DT24" t="s">
        <v>605</v>
      </c>
      <c r="DU24" t="s">
        <v>599</v>
      </c>
      <c r="DV24" t="s">
        <v>600</v>
      </c>
      <c r="DW24" t="s">
        <v>606</v>
      </c>
      <c r="DX24">
        <v>1.7024642999999999E-2</v>
      </c>
      <c r="DY24">
        <v>107.2122626</v>
      </c>
      <c r="DZ24">
        <v>40.759316259999999</v>
      </c>
      <c r="EA24">
        <v>8.2653361420000007</v>
      </c>
      <c r="EB24">
        <v>2.488114103</v>
      </c>
      <c r="EC24">
        <v>3.4458645520000002</v>
      </c>
      <c r="ED24">
        <v>25.281503709999999</v>
      </c>
      <c r="EE24">
        <v>8.2653361420000007</v>
      </c>
      <c r="EF24">
        <v>214.4245253</v>
      </c>
      <c r="EG24">
        <v>125.88177880000001</v>
      </c>
      <c r="EH24">
        <v>8.2653361420000007</v>
      </c>
      <c r="EI24">
        <v>6.342126E-3</v>
      </c>
      <c r="EJ24">
        <v>37.15548622</v>
      </c>
      <c r="EK24">
        <v>3.4458645520000002</v>
      </c>
      <c r="EL24">
        <v>0.39762994499999998</v>
      </c>
      <c r="EM24">
        <v>0.98007861799999996</v>
      </c>
      <c r="EN24">
        <v>0.32044485099999998</v>
      </c>
      <c r="EO24">
        <v>0.998653024</v>
      </c>
      <c r="EP24" s="2">
        <v>7.8100000000000001E-4</v>
      </c>
      <c r="EQ24">
        <v>0.54420866599999995</v>
      </c>
      <c r="ER24">
        <v>11516.65083</v>
      </c>
      <c r="ES24">
        <v>125.88177880000001</v>
      </c>
      <c r="ET24">
        <v>-4220.0150899999999</v>
      </c>
      <c r="EU24">
        <v>603452.16669999994</v>
      </c>
      <c r="EV24">
        <v>0.90999470199999999</v>
      </c>
      <c r="EW24">
        <v>1.4852131319999999</v>
      </c>
      <c r="EX24" s="2">
        <v>1.5699999999999999E-4</v>
      </c>
      <c r="EY24">
        <v>11466.27613</v>
      </c>
      <c r="EZ24" s="2">
        <v>1.4300000000000001E-4</v>
      </c>
      <c r="FA24">
        <v>10429.55222</v>
      </c>
      <c r="FB24" s="2">
        <v>2.2499999999999999E-4</v>
      </c>
      <c r="FC24">
        <v>17036.788390000002</v>
      </c>
      <c r="FD24">
        <v>3381.9864219999999</v>
      </c>
      <c r="FE24">
        <v>47183.96243</v>
      </c>
      <c r="FF24">
        <v>0.87951271399999997</v>
      </c>
      <c r="FG24" s="2">
        <v>1.4100000000000001E-4</v>
      </c>
      <c r="FH24">
        <v>1.5559764E-2</v>
      </c>
      <c r="FI24">
        <v>0.28032532399999999</v>
      </c>
      <c r="FJ24">
        <v>27046.46918</v>
      </c>
      <c r="FK24">
        <v>4.3114672719999998</v>
      </c>
      <c r="FL24">
        <v>0.66504588600000003</v>
      </c>
      <c r="FM24">
        <v>4926.6058400000002</v>
      </c>
      <c r="FN24" s="2">
        <v>1.9100000000000001E-4</v>
      </c>
      <c r="FO24">
        <v>11082.837939999999</v>
      </c>
      <c r="FP24" s="2">
        <v>9.9199999999999999E-5</v>
      </c>
      <c r="FQ24">
        <v>7157.9721</v>
      </c>
      <c r="FR24">
        <v>0.44395006799999998</v>
      </c>
      <c r="FS24" s="2">
        <v>54800000</v>
      </c>
      <c r="FT24">
        <v>518.85536839999997</v>
      </c>
      <c r="FU24">
        <v>3.3742301000000002E-2</v>
      </c>
      <c r="FV24">
        <v>6288.3444760000002</v>
      </c>
      <c r="FW24">
        <v>0.40894481900000001</v>
      </c>
      <c r="FX24">
        <v>0.228552319</v>
      </c>
      <c r="FY24">
        <v>156.49119909999999</v>
      </c>
      <c r="FZ24">
        <v>4907.4620139999997</v>
      </c>
      <c r="GA24">
        <v>7.3182351480000003</v>
      </c>
    </row>
    <row r="25" spans="1:183" x14ac:dyDescent="0.2">
      <c r="A25" t="s">
        <v>2463</v>
      </c>
      <c r="B25" t="s">
        <v>182</v>
      </c>
      <c r="C25" t="s">
        <v>607</v>
      </c>
      <c r="D25" s="1">
        <v>43104</v>
      </c>
      <c r="E25" t="s">
        <v>608</v>
      </c>
      <c r="F25" t="s">
        <v>185</v>
      </c>
      <c r="G25" t="s">
        <v>186</v>
      </c>
      <c r="H25">
        <v>1</v>
      </c>
      <c r="I25">
        <v>400</v>
      </c>
      <c r="J25">
        <v>10</v>
      </c>
      <c r="K25" t="s">
        <v>187</v>
      </c>
      <c r="L25" t="s">
        <v>609</v>
      </c>
      <c r="M25">
        <v>5</v>
      </c>
      <c r="N25">
        <v>0.888671875</v>
      </c>
      <c r="O25">
        <v>0.888671875</v>
      </c>
      <c r="P25" t="s">
        <v>610</v>
      </c>
      <c r="Q25">
        <v>0</v>
      </c>
      <c r="R25" t="s">
        <v>194</v>
      </c>
      <c r="T25">
        <v>14831.767620000001</v>
      </c>
      <c r="U25">
        <v>14957.63206</v>
      </c>
      <c r="V25">
        <v>3788</v>
      </c>
      <c r="W25">
        <v>4406.2957740000002</v>
      </c>
      <c r="X25">
        <v>0.29708500599999998</v>
      </c>
      <c r="Y25">
        <v>19.720483399999999</v>
      </c>
      <c r="Z25">
        <v>2.8609318000000002E-2</v>
      </c>
      <c r="AA25">
        <v>0.290815306</v>
      </c>
      <c r="AB25">
        <v>1.5093649010000001</v>
      </c>
      <c r="AC25">
        <v>0.66253031299999998</v>
      </c>
      <c r="AD25">
        <v>0.50936490099999998</v>
      </c>
      <c r="AE25" t="s">
        <v>611</v>
      </c>
      <c r="AF25" t="s">
        <v>612</v>
      </c>
      <c r="AG25" t="s">
        <v>613</v>
      </c>
      <c r="AH25" t="s">
        <v>193</v>
      </c>
      <c r="AI25" t="s">
        <v>193</v>
      </c>
      <c r="AJ25" t="s">
        <v>193</v>
      </c>
      <c r="AK25" t="s">
        <v>193</v>
      </c>
      <c r="AL25" t="s">
        <v>193</v>
      </c>
      <c r="AM25" t="s">
        <v>193</v>
      </c>
      <c r="AN25" t="s">
        <v>193</v>
      </c>
      <c r="AO25" t="s">
        <v>193</v>
      </c>
      <c r="AP25" t="s">
        <v>193</v>
      </c>
      <c r="AQ25">
        <v>0.17159669299999999</v>
      </c>
      <c r="AR25" t="s">
        <v>193</v>
      </c>
      <c r="AS25" t="s">
        <v>193</v>
      </c>
      <c r="AT25">
        <v>45.716870450000002</v>
      </c>
      <c r="AU25" t="s">
        <v>193</v>
      </c>
      <c r="AV25" s="2">
        <v>12000000</v>
      </c>
      <c r="AW25">
        <v>26.935322070000002</v>
      </c>
      <c r="AX25">
        <v>7397.6444439999996</v>
      </c>
      <c r="AY25">
        <v>-3.9396157430000001</v>
      </c>
      <c r="AZ25">
        <v>20.791617380000002</v>
      </c>
      <c r="BA25">
        <v>48</v>
      </c>
      <c r="BB25">
        <v>-781</v>
      </c>
      <c r="BC25">
        <v>-38</v>
      </c>
      <c r="BD25">
        <v>23</v>
      </c>
      <c r="BE25">
        <v>48</v>
      </c>
      <c r="BF25">
        <v>65</v>
      </c>
      <c r="BG25">
        <v>80</v>
      </c>
      <c r="BH25">
        <v>86.009560190000002</v>
      </c>
      <c r="BI25">
        <v>227</v>
      </c>
      <c r="BJ25">
        <v>42</v>
      </c>
      <c r="BK25">
        <v>1008</v>
      </c>
      <c r="BL25">
        <v>47.859127610000002</v>
      </c>
      <c r="BM25">
        <v>19.586151690000001</v>
      </c>
      <c r="BN25">
        <v>42.45274551</v>
      </c>
      <c r="BO25">
        <v>3.1931884820000001</v>
      </c>
      <c r="BP25">
        <v>0.47727272700000001</v>
      </c>
      <c r="BQ25" t="s">
        <v>194</v>
      </c>
      <c r="BR25" s="2">
        <v>30800000</v>
      </c>
      <c r="BS25">
        <v>90.128552740000003</v>
      </c>
      <c r="BT25">
        <v>402.88863709999998</v>
      </c>
      <c r="BU25">
        <v>4423.8473569999996</v>
      </c>
      <c r="BV25">
        <v>0.50148342899999998</v>
      </c>
      <c r="BW25">
        <v>65.417320250000003</v>
      </c>
      <c r="BX25">
        <v>1.022710327</v>
      </c>
      <c r="BY25">
        <v>59.196910860000003</v>
      </c>
      <c r="BZ25">
        <v>76.159294130000006</v>
      </c>
      <c r="CA25" t="s">
        <v>614</v>
      </c>
      <c r="CB25" t="s">
        <v>615</v>
      </c>
      <c r="CC25" t="s">
        <v>616</v>
      </c>
      <c r="CD25" t="s">
        <v>617</v>
      </c>
      <c r="CE25" t="s">
        <v>618</v>
      </c>
      <c r="CF25" t="s">
        <v>619</v>
      </c>
      <c r="CG25" t="s">
        <v>620</v>
      </c>
      <c r="CH25">
        <v>103.2431362</v>
      </c>
      <c r="CI25">
        <v>74.08106429</v>
      </c>
      <c r="CJ25">
        <v>-3.9365817110000001</v>
      </c>
      <c r="CK25">
        <v>20.78588092</v>
      </c>
      <c r="CL25">
        <v>105</v>
      </c>
      <c r="CM25">
        <v>22</v>
      </c>
      <c r="CN25">
        <v>97</v>
      </c>
      <c r="CO25">
        <v>103</v>
      </c>
      <c r="CP25">
        <v>105</v>
      </c>
      <c r="CQ25">
        <v>107</v>
      </c>
      <c r="CR25">
        <v>109</v>
      </c>
      <c r="CS25">
        <v>8.6070357439999992</v>
      </c>
      <c r="CT25">
        <v>123</v>
      </c>
      <c r="CU25">
        <v>106</v>
      </c>
      <c r="CV25">
        <v>4</v>
      </c>
      <c r="CW25">
        <v>101</v>
      </c>
      <c r="CX25">
        <v>4.7936387509999996</v>
      </c>
      <c r="CY25">
        <v>2.0428763550000002</v>
      </c>
      <c r="CZ25">
        <v>4.2526399159999997</v>
      </c>
      <c r="DA25">
        <v>8.3366662999999994E-2</v>
      </c>
      <c r="DB25">
        <v>1.9047618999999998E-2</v>
      </c>
      <c r="DC25">
        <v>1.2512935089999999</v>
      </c>
      <c r="DD25">
        <v>4.1567070609999996</v>
      </c>
      <c r="DE25">
        <v>1032.431362</v>
      </c>
      <c r="DF25">
        <v>8.6979640999999996E-2</v>
      </c>
      <c r="DG25">
        <v>4.7918570000000001E-3</v>
      </c>
      <c r="DH25">
        <v>121.5</v>
      </c>
      <c r="DI25">
        <v>104</v>
      </c>
      <c r="DJ25">
        <v>-165</v>
      </c>
      <c r="DK25">
        <v>108</v>
      </c>
      <c r="DL25">
        <v>0.50148342899999998</v>
      </c>
      <c r="DM25">
        <v>65.417320250000003</v>
      </c>
      <c r="DN25">
        <v>1.022710327</v>
      </c>
      <c r="DO25">
        <v>59.196910860000003</v>
      </c>
      <c r="DP25">
        <v>76.159294130000006</v>
      </c>
      <c r="DQ25" t="s">
        <v>621</v>
      </c>
      <c r="DR25" t="s">
        <v>622</v>
      </c>
      <c r="DS25" t="s">
        <v>623</v>
      </c>
      <c r="DT25" t="s">
        <v>624</v>
      </c>
      <c r="DU25" t="s">
        <v>618</v>
      </c>
      <c r="DV25" t="s">
        <v>619</v>
      </c>
      <c r="DW25" t="s">
        <v>625</v>
      </c>
      <c r="DX25">
        <v>2.9103757000000001E-2</v>
      </c>
      <c r="DY25">
        <v>104.1925296</v>
      </c>
      <c r="DZ25">
        <v>45.307792800000001</v>
      </c>
      <c r="EA25">
        <v>7.566969147</v>
      </c>
      <c r="EB25">
        <v>2.27788469</v>
      </c>
      <c r="EC25">
        <v>3.863835087</v>
      </c>
      <c r="ED25">
        <v>39.763346159999998</v>
      </c>
      <c r="EE25">
        <v>7.566969147</v>
      </c>
      <c r="EF25">
        <v>208.3850592</v>
      </c>
      <c r="EG25">
        <v>105.0083952</v>
      </c>
      <c r="EH25">
        <v>1.9055995429999999</v>
      </c>
      <c r="EI25">
        <v>1.1675365E-2</v>
      </c>
      <c r="EJ25">
        <v>54.692567740000001</v>
      </c>
      <c r="EK25">
        <v>3.863835087</v>
      </c>
      <c r="EL25">
        <v>0.399649533</v>
      </c>
      <c r="EM25">
        <v>0.96625517100000002</v>
      </c>
      <c r="EN25">
        <v>0.32537676599999998</v>
      </c>
      <c r="EO25">
        <v>0.995267228</v>
      </c>
      <c r="EP25" s="2">
        <v>1.6700000000000001E-6</v>
      </c>
      <c r="EQ25">
        <v>0.39643310399999998</v>
      </c>
      <c r="ER25">
        <v>10874.044739999999</v>
      </c>
      <c r="ES25">
        <v>105.0083952</v>
      </c>
      <c r="ET25">
        <v>-6238.6954669999996</v>
      </c>
      <c r="EU25">
        <v>525925.31189999997</v>
      </c>
      <c r="EV25">
        <v>0.91646730899999995</v>
      </c>
      <c r="EW25">
        <v>1.4357950239999999</v>
      </c>
      <c r="EX25" s="2">
        <v>9.9599999999999995E-5</v>
      </c>
      <c r="EY25">
        <v>10678.50878</v>
      </c>
      <c r="EZ25" s="2">
        <v>9.2100000000000003E-5</v>
      </c>
      <c r="FA25">
        <v>9746.6456579999995</v>
      </c>
      <c r="FB25" s="2">
        <v>1.3899999999999999E-4</v>
      </c>
      <c r="FC25">
        <v>15542.42447</v>
      </c>
      <c r="FD25">
        <v>273.0935556</v>
      </c>
      <c r="FE25">
        <v>2716.9946519999999</v>
      </c>
      <c r="FF25">
        <v>0.88770205499999999</v>
      </c>
      <c r="FG25">
        <v>1.651245E-3</v>
      </c>
      <c r="FH25">
        <v>7.7529442000000004E-2</v>
      </c>
      <c r="FI25">
        <v>4.4277268000000002E-2</v>
      </c>
      <c r="FJ25">
        <v>10985.48206</v>
      </c>
      <c r="FK25">
        <v>16.308423269999999</v>
      </c>
      <c r="FL25">
        <v>0.75064275800000002</v>
      </c>
      <c r="FM25">
        <v>644.46673290000001</v>
      </c>
      <c r="FN25" s="2">
        <v>1.21E-4</v>
      </c>
      <c r="FO25">
        <v>9662.5461770000002</v>
      </c>
      <c r="FP25" s="2">
        <v>9.6799999999999995E-5</v>
      </c>
      <c r="FQ25">
        <v>7007.1160440000003</v>
      </c>
      <c r="FR25">
        <v>5.7584440000000001E-2</v>
      </c>
      <c r="FS25">
        <v>7218828.3030000003</v>
      </c>
      <c r="FT25">
        <v>33.587884809999998</v>
      </c>
      <c r="FU25">
        <v>3.3354403999999997E-2</v>
      </c>
      <c r="FV25">
        <v>526.71400200000005</v>
      </c>
      <c r="FW25">
        <v>0.52305263400000002</v>
      </c>
      <c r="FX25">
        <v>0.26583949299999998</v>
      </c>
      <c r="FY25">
        <v>199.3332551</v>
      </c>
      <c r="FZ25">
        <v>630.31658430000005</v>
      </c>
      <c r="GA25">
        <v>6.6910972859999998</v>
      </c>
    </row>
    <row r="26" spans="1:183" x14ac:dyDescent="0.2">
      <c r="A26" t="s">
        <v>2464</v>
      </c>
      <c r="B26" t="s">
        <v>182</v>
      </c>
      <c r="C26" t="s">
        <v>626</v>
      </c>
      <c r="D26" s="1">
        <v>43082</v>
      </c>
      <c r="E26" t="s">
        <v>381</v>
      </c>
      <c r="F26" t="s">
        <v>185</v>
      </c>
      <c r="G26" t="s">
        <v>186</v>
      </c>
      <c r="H26">
        <v>1</v>
      </c>
      <c r="I26">
        <v>400</v>
      </c>
      <c r="J26">
        <v>10</v>
      </c>
      <c r="K26" t="s">
        <v>187</v>
      </c>
      <c r="L26" t="s">
        <v>627</v>
      </c>
      <c r="M26">
        <v>5</v>
      </c>
      <c r="N26">
        <v>0.8046875</v>
      </c>
      <c r="O26">
        <v>0.8046875</v>
      </c>
      <c r="P26" t="s">
        <v>628</v>
      </c>
      <c r="Q26">
        <v>0</v>
      </c>
      <c r="R26" t="s">
        <v>194</v>
      </c>
      <c r="T26">
        <v>17166.347099999999</v>
      </c>
      <c r="U26">
        <v>17298.549500000001</v>
      </c>
      <c r="V26">
        <v>5343</v>
      </c>
      <c r="W26">
        <v>5654.8964759999999</v>
      </c>
      <c r="X26">
        <v>0.32941757799999999</v>
      </c>
      <c r="Y26">
        <v>24.771887469999999</v>
      </c>
      <c r="Z26">
        <v>2.2775396999999999E-2</v>
      </c>
      <c r="AA26">
        <v>0.18430375199999999</v>
      </c>
      <c r="AB26">
        <v>1.757203021</v>
      </c>
      <c r="AC26">
        <v>0.56908620600000004</v>
      </c>
      <c r="AD26">
        <v>0.75720302100000003</v>
      </c>
      <c r="AE26" t="s">
        <v>629</v>
      </c>
      <c r="AF26" t="s">
        <v>630</v>
      </c>
      <c r="AG26" t="s">
        <v>631</v>
      </c>
      <c r="AH26" t="s">
        <v>193</v>
      </c>
      <c r="AI26" t="s">
        <v>193</v>
      </c>
      <c r="AJ26" t="s">
        <v>193</v>
      </c>
      <c r="AK26" t="s">
        <v>193</v>
      </c>
      <c r="AL26" t="s">
        <v>193</v>
      </c>
      <c r="AM26" t="s">
        <v>193</v>
      </c>
      <c r="AN26" t="s">
        <v>193</v>
      </c>
      <c r="AO26" t="s">
        <v>193</v>
      </c>
      <c r="AP26" t="s">
        <v>193</v>
      </c>
      <c r="AQ26">
        <v>0.123391853</v>
      </c>
      <c r="AR26" t="s">
        <v>193</v>
      </c>
      <c r="AS26" t="s">
        <v>193</v>
      </c>
      <c r="AT26">
        <v>53.731248999999998</v>
      </c>
      <c r="AU26" t="s">
        <v>193</v>
      </c>
      <c r="AV26" s="2">
        <v>10700000</v>
      </c>
      <c r="AW26">
        <v>10.19408572</v>
      </c>
      <c r="AX26">
        <v>5338.4375319999999</v>
      </c>
      <c r="AY26">
        <v>-3.4713658980000002</v>
      </c>
      <c r="AZ26">
        <v>15.47417418</v>
      </c>
      <c r="BA26">
        <v>29</v>
      </c>
      <c r="BB26">
        <v>-616</v>
      </c>
      <c r="BC26">
        <v>-58</v>
      </c>
      <c r="BD26">
        <v>12</v>
      </c>
      <c r="BE26">
        <v>29</v>
      </c>
      <c r="BF26">
        <v>44</v>
      </c>
      <c r="BG26">
        <v>58</v>
      </c>
      <c r="BH26">
        <v>73.06461204</v>
      </c>
      <c r="BI26">
        <v>160</v>
      </c>
      <c r="BJ26">
        <v>32</v>
      </c>
      <c r="BK26">
        <v>776</v>
      </c>
      <c r="BL26">
        <v>42.78467723</v>
      </c>
      <c r="BM26">
        <v>16.973967479999999</v>
      </c>
      <c r="BN26">
        <v>37.01141681</v>
      </c>
      <c r="BO26">
        <v>7.1673531150000001</v>
      </c>
      <c r="BP26">
        <v>0.571428571</v>
      </c>
      <c r="BQ26" t="s">
        <v>194</v>
      </c>
      <c r="BR26" s="2">
        <v>29100000</v>
      </c>
      <c r="BS26">
        <v>73.772331640000004</v>
      </c>
      <c r="BT26">
        <v>176.3428964</v>
      </c>
      <c r="BU26">
        <v>1500.09257</v>
      </c>
      <c r="BV26">
        <v>0.501829529</v>
      </c>
      <c r="BW26">
        <v>54.864517210000002</v>
      </c>
      <c r="BX26">
        <v>1.045748047</v>
      </c>
      <c r="BY26">
        <v>42.037265779999998</v>
      </c>
      <c r="BZ26" t="s">
        <v>194</v>
      </c>
      <c r="CA26" t="s">
        <v>632</v>
      </c>
      <c r="CB26" t="s">
        <v>633</v>
      </c>
      <c r="CC26" t="s">
        <v>634</v>
      </c>
      <c r="CD26" t="s">
        <v>635</v>
      </c>
      <c r="CE26" t="s">
        <v>636</v>
      </c>
      <c r="CF26" t="s">
        <v>637</v>
      </c>
      <c r="CG26" t="s">
        <v>638</v>
      </c>
      <c r="CH26">
        <v>101.56297960000001</v>
      </c>
      <c r="CI26">
        <v>53.441242250000002</v>
      </c>
      <c r="CJ26">
        <v>-3.4560187889999998</v>
      </c>
      <c r="CK26">
        <v>15.35831241</v>
      </c>
      <c r="CL26">
        <v>103</v>
      </c>
      <c r="CM26">
        <v>39</v>
      </c>
      <c r="CN26">
        <v>95</v>
      </c>
      <c r="CO26">
        <v>102</v>
      </c>
      <c r="CP26">
        <v>103</v>
      </c>
      <c r="CQ26">
        <v>105</v>
      </c>
      <c r="CR26">
        <v>106</v>
      </c>
      <c r="CS26">
        <v>7.3103517189999998</v>
      </c>
      <c r="CT26">
        <v>117</v>
      </c>
      <c r="CU26">
        <v>104</v>
      </c>
      <c r="CV26">
        <v>3</v>
      </c>
      <c r="CW26">
        <v>78</v>
      </c>
      <c r="CX26">
        <v>4.2884516340000003</v>
      </c>
      <c r="CY26">
        <v>1.716382555</v>
      </c>
      <c r="CZ26">
        <v>3.7304884899999999</v>
      </c>
      <c r="DA26">
        <v>7.1978507999999997E-2</v>
      </c>
      <c r="DB26">
        <v>1.4492754E-2</v>
      </c>
      <c r="DC26">
        <v>1.183716</v>
      </c>
      <c r="DD26">
        <v>3.9322194349999999</v>
      </c>
      <c r="DE26">
        <v>1015.6297960000001</v>
      </c>
      <c r="DF26">
        <v>0.10387639999999999</v>
      </c>
      <c r="DG26">
        <v>4.4092619999999997E-3</v>
      </c>
      <c r="DH26">
        <v>345.5</v>
      </c>
      <c r="DI26">
        <v>102</v>
      </c>
      <c r="DJ26">
        <v>-222</v>
      </c>
      <c r="DK26">
        <v>105</v>
      </c>
      <c r="DL26">
        <v>0.501829529</v>
      </c>
      <c r="DM26">
        <v>54.864517210000002</v>
      </c>
      <c r="DN26">
        <v>1.045748047</v>
      </c>
      <c r="DO26">
        <v>42.037265779999998</v>
      </c>
      <c r="DP26" t="s">
        <v>194</v>
      </c>
      <c r="DQ26" t="s">
        <v>639</v>
      </c>
      <c r="DR26" t="s">
        <v>640</v>
      </c>
      <c r="DS26" t="s">
        <v>641</v>
      </c>
      <c r="DT26" t="s">
        <v>642</v>
      </c>
      <c r="DU26" t="s">
        <v>636</v>
      </c>
      <c r="DV26" t="s">
        <v>637</v>
      </c>
      <c r="DW26" t="s">
        <v>643</v>
      </c>
      <c r="DX26">
        <v>5.6890535999999998E-2</v>
      </c>
      <c r="DY26">
        <v>102.3992391</v>
      </c>
      <c r="DZ26">
        <v>33.510165989999997</v>
      </c>
      <c r="EA26">
        <v>7.038420758</v>
      </c>
      <c r="EB26">
        <v>2.1187757700000001</v>
      </c>
      <c r="EC26">
        <v>3.2900313429999999</v>
      </c>
      <c r="ED26">
        <v>31.51762836</v>
      </c>
      <c r="EE26">
        <v>7.038420758</v>
      </c>
      <c r="EF26">
        <v>204.79847820000001</v>
      </c>
      <c r="EG26">
        <v>27.32778635</v>
      </c>
      <c r="EH26">
        <v>0.112579498</v>
      </c>
      <c r="EI26">
        <v>2.0818017000000001E-2</v>
      </c>
      <c r="EJ26">
        <v>42.341934590000001</v>
      </c>
      <c r="EK26">
        <v>3.2900313429999999</v>
      </c>
      <c r="EL26">
        <v>0.47922529699999999</v>
      </c>
      <c r="EM26">
        <v>0.96367635299999999</v>
      </c>
      <c r="EN26">
        <v>0.42557579200000001</v>
      </c>
      <c r="EO26">
        <v>0.99385153599999998</v>
      </c>
      <c r="EP26" s="2">
        <v>1.5699999999999999E-7</v>
      </c>
      <c r="EQ26">
        <v>0.36822254799999998</v>
      </c>
      <c r="ER26">
        <v>10497.943370000001</v>
      </c>
      <c r="ES26">
        <v>27.32778635</v>
      </c>
      <c r="ET26">
        <v>-2979.5162829999999</v>
      </c>
      <c r="EU26">
        <v>171456.3646</v>
      </c>
      <c r="EV26">
        <v>0.88094486100000002</v>
      </c>
      <c r="EW26">
        <v>1.786122985</v>
      </c>
      <c r="EX26" s="2">
        <v>1.01E-4</v>
      </c>
      <c r="EY26">
        <v>10278.61686</v>
      </c>
      <c r="EZ26" s="2">
        <v>8.9800000000000001E-5</v>
      </c>
      <c r="FA26">
        <v>8992.6530519999997</v>
      </c>
      <c r="FB26" s="2">
        <v>1.74E-4</v>
      </c>
      <c r="FC26">
        <v>18775.031719999999</v>
      </c>
      <c r="FD26">
        <v>412.77434140000003</v>
      </c>
      <c r="FE26">
        <v>3340.34292</v>
      </c>
      <c r="FF26">
        <v>0.83689658600000005</v>
      </c>
      <c r="FG26">
        <v>1.210203E-3</v>
      </c>
      <c r="FH26">
        <v>6.6418849000000002E-2</v>
      </c>
      <c r="FI26">
        <v>7.2715843000000002E-2</v>
      </c>
      <c r="FJ26">
        <v>6610.9803309999998</v>
      </c>
      <c r="FK26">
        <v>8.0190365400000001</v>
      </c>
      <c r="FL26">
        <v>0.77257126399999998</v>
      </c>
      <c r="FM26">
        <v>1125.649007</v>
      </c>
      <c r="FN26" s="2">
        <v>1.1900000000000001E-4</v>
      </c>
      <c r="FO26">
        <v>9125.2553349999998</v>
      </c>
      <c r="FP26" s="2">
        <v>9.6399999999999999E-5</v>
      </c>
      <c r="FQ26">
        <v>6775.2947860000004</v>
      </c>
      <c r="FR26">
        <v>0.10488768399999999</v>
      </c>
      <c r="FS26" s="2">
        <v>12100000</v>
      </c>
      <c r="FT26">
        <v>49.955114049999999</v>
      </c>
      <c r="FU26">
        <v>3.6758730000000003E-2</v>
      </c>
      <c r="FV26">
        <v>755.58572479999998</v>
      </c>
      <c r="FW26">
        <v>0.55598655200000002</v>
      </c>
      <c r="FX26">
        <v>0.25435148800000001</v>
      </c>
      <c r="FY26">
        <v>130.28917290000001</v>
      </c>
      <c r="FZ26">
        <v>1110.191785</v>
      </c>
      <c r="GA26">
        <v>6.4093877250000002</v>
      </c>
    </row>
    <row r="27" spans="1:183" x14ac:dyDescent="0.2">
      <c r="A27" t="s">
        <v>2465</v>
      </c>
      <c r="B27" t="s">
        <v>182</v>
      </c>
      <c r="C27" t="s">
        <v>644</v>
      </c>
      <c r="D27" s="1">
        <v>43684</v>
      </c>
      <c r="E27" t="s">
        <v>645</v>
      </c>
      <c r="F27" t="s">
        <v>185</v>
      </c>
      <c r="G27" t="s">
        <v>186</v>
      </c>
      <c r="H27">
        <v>1</v>
      </c>
      <c r="I27">
        <v>401</v>
      </c>
      <c r="J27">
        <v>3.25</v>
      </c>
      <c r="K27" t="s">
        <v>496</v>
      </c>
      <c r="L27" t="s">
        <v>646</v>
      </c>
      <c r="M27">
        <v>5</v>
      </c>
      <c r="N27">
        <v>1</v>
      </c>
      <c r="O27">
        <v>1</v>
      </c>
      <c r="P27" t="s">
        <v>647</v>
      </c>
      <c r="Q27">
        <v>0</v>
      </c>
      <c r="R27" t="s">
        <v>194</v>
      </c>
      <c r="T27">
        <v>18283.75</v>
      </c>
      <c r="U27">
        <v>18445</v>
      </c>
      <c r="V27">
        <v>3689</v>
      </c>
      <c r="W27">
        <v>5275.6377422256501</v>
      </c>
      <c r="X27">
        <v>0.288542434797328</v>
      </c>
      <c r="Y27">
        <v>20.957871607514502</v>
      </c>
      <c r="Z27">
        <v>2.6920175584311801E-2</v>
      </c>
      <c r="AA27">
        <v>0.25748860986208399</v>
      </c>
      <c r="AB27">
        <v>1.5718604709562001</v>
      </c>
      <c r="AC27">
        <v>0.63618878295964398</v>
      </c>
      <c r="AD27">
        <v>0.57186047095620196</v>
      </c>
      <c r="AE27" t="s">
        <v>648</v>
      </c>
      <c r="AF27" t="s">
        <v>649</v>
      </c>
      <c r="AG27" t="s">
        <v>650</v>
      </c>
      <c r="AH27" t="s">
        <v>193</v>
      </c>
      <c r="AI27" t="s">
        <v>193</v>
      </c>
      <c r="AJ27" t="s">
        <v>193</v>
      </c>
      <c r="AK27" t="s">
        <v>193</v>
      </c>
      <c r="AL27" t="s">
        <v>193</v>
      </c>
      <c r="AM27" t="s">
        <v>193</v>
      </c>
      <c r="AN27" t="s">
        <v>193</v>
      </c>
      <c r="AO27" t="s">
        <v>193</v>
      </c>
      <c r="AP27" t="s">
        <v>193</v>
      </c>
      <c r="AQ27">
        <v>1.79569410970541</v>
      </c>
      <c r="AR27" t="s">
        <v>193</v>
      </c>
      <c r="AS27" t="s">
        <v>193</v>
      </c>
      <c r="AT27">
        <v>56.178287620752499</v>
      </c>
      <c r="AU27" t="s">
        <v>193</v>
      </c>
      <c r="AV27">
        <v>1189912.6625234201</v>
      </c>
      <c r="AW27">
        <v>65.080339783874905</v>
      </c>
      <c r="AX27">
        <v>3637.4275897208599</v>
      </c>
      <c r="AY27">
        <v>-3.1819889286395502</v>
      </c>
      <c r="AZ27">
        <v>22.647413965374199</v>
      </c>
      <c r="BA27">
        <v>73.245277404785099</v>
      </c>
      <c r="BB27">
        <v>-663.8544921875</v>
      </c>
      <c r="BC27">
        <v>9.9189777374267507</v>
      </c>
      <c r="BD27">
        <v>42.456264495849602</v>
      </c>
      <c r="BE27">
        <v>73.245277404785099</v>
      </c>
      <c r="BF27">
        <v>99</v>
      </c>
      <c r="BG27">
        <v>121.242500305175</v>
      </c>
      <c r="BH27">
        <v>60.311090105559003</v>
      </c>
      <c r="BI27">
        <v>257.38619995117102</v>
      </c>
      <c r="BJ27">
        <v>56.543735504150298</v>
      </c>
      <c r="BK27">
        <v>921.24069213867097</v>
      </c>
      <c r="BL27">
        <v>39.222773455919302</v>
      </c>
      <c r="BM27">
        <v>23.947010744078501</v>
      </c>
      <c r="BN27">
        <v>38.625800580753697</v>
      </c>
      <c r="BO27">
        <v>0.92671750494613203</v>
      </c>
      <c r="BP27">
        <v>0.39972592027417297</v>
      </c>
      <c r="BQ27" t="s">
        <v>194</v>
      </c>
      <c r="BR27" s="2">
        <v>29043047.739213102</v>
      </c>
      <c r="BS27">
        <v>88.729241043217996</v>
      </c>
      <c r="BT27">
        <v>1200.40686731357</v>
      </c>
      <c r="BU27">
        <v>12034.125</v>
      </c>
      <c r="BV27">
        <v>0.53500000000000003</v>
      </c>
      <c r="BW27">
        <v>105.160934448242</v>
      </c>
      <c r="BX27">
        <v>1.0549999999999999</v>
      </c>
      <c r="BY27">
        <v>97.944496154785099</v>
      </c>
      <c r="BZ27">
        <v>47.747714996337798</v>
      </c>
      <c r="CA27" t="s">
        <v>651</v>
      </c>
      <c r="CB27" t="s">
        <v>652</v>
      </c>
      <c r="CC27" t="s">
        <v>653</v>
      </c>
      <c r="CD27" t="s">
        <v>654</v>
      </c>
      <c r="CE27" t="s">
        <v>655</v>
      </c>
      <c r="CF27" t="s">
        <v>656</v>
      </c>
      <c r="CG27" t="s">
        <v>657</v>
      </c>
      <c r="CH27">
        <v>329.04039034968798</v>
      </c>
      <c r="CI27">
        <v>345.70913034369403</v>
      </c>
      <c r="CJ27">
        <v>-3.1810276663739399</v>
      </c>
      <c r="CK27">
        <v>22.674486811818099</v>
      </c>
      <c r="CL27">
        <v>332</v>
      </c>
      <c r="CM27">
        <v>104</v>
      </c>
      <c r="CN27">
        <v>312</v>
      </c>
      <c r="CO27">
        <v>322</v>
      </c>
      <c r="CP27">
        <v>332</v>
      </c>
      <c r="CQ27">
        <v>339</v>
      </c>
      <c r="CR27">
        <v>346</v>
      </c>
      <c r="CS27">
        <v>18.593254969038998</v>
      </c>
      <c r="CT27">
        <v>388</v>
      </c>
      <c r="CU27">
        <v>335</v>
      </c>
      <c r="CV27">
        <v>17</v>
      </c>
      <c r="CW27">
        <v>284</v>
      </c>
      <c r="CX27">
        <v>12.0928548685799</v>
      </c>
      <c r="CY27">
        <v>7.4767087587912497</v>
      </c>
      <c r="CZ27">
        <v>11.913797777175301</v>
      </c>
      <c r="DA27">
        <v>5.6507515534123198E-2</v>
      </c>
      <c r="DB27">
        <v>2.5718608169440198E-2</v>
      </c>
      <c r="DC27">
        <v>1.76693313084917</v>
      </c>
      <c r="DD27">
        <v>5.8696248091551597</v>
      </c>
      <c r="DE27">
        <v>1069.38126863653</v>
      </c>
      <c r="DF27">
        <v>2.1594314410589999E-2</v>
      </c>
      <c r="DG27">
        <v>2.4194429309493701E-3</v>
      </c>
      <c r="DH27">
        <v>17.5</v>
      </c>
      <c r="DI27">
        <v>334</v>
      </c>
      <c r="DJ27">
        <v>-16</v>
      </c>
      <c r="DK27">
        <v>345</v>
      </c>
      <c r="DL27">
        <v>0.53500000000000003</v>
      </c>
      <c r="DM27">
        <v>105.160934448242</v>
      </c>
      <c r="DN27">
        <v>1.0549999999999999</v>
      </c>
      <c r="DO27">
        <v>97.944496154785099</v>
      </c>
      <c r="DP27">
        <v>47.747714996337798</v>
      </c>
      <c r="DQ27" t="s">
        <v>658</v>
      </c>
      <c r="DR27" t="s">
        <v>659</v>
      </c>
      <c r="DS27" t="s">
        <v>660</v>
      </c>
      <c r="DT27" t="s">
        <v>661</v>
      </c>
      <c r="DU27" t="s">
        <v>655</v>
      </c>
      <c r="DV27" t="s">
        <v>656</v>
      </c>
      <c r="DW27" t="s">
        <v>662</v>
      </c>
      <c r="DX27">
        <v>1.8247195835345801E-3</v>
      </c>
      <c r="DY27">
        <v>330.534159823967</v>
      </c>
      <c r="DZ27">
        <v>259.93192224934597</v>
      </c>
      <c r="EA27">
        <v>11.366585444110999</v>
      </c>
      <c r="EB27">
        <v>3.42168316695488</v>
      </c>
      <c r="EC27">
        <v>14.0620941340632</v>
      </c>
      <c r="ED27">
        <v>211.66710444302399</v>
      </c>
      <c r="EE27">
        <v>11.3665854441118</v>
      </c>
      <c r="EF27">
        <v>661.068319647934</v>
      </c>
      <c r="EG27">
        <v>201.36311911806899</v>
      </c>
      <c r="EH27">
        <v>0.145838832650761</v>
      </c>
      <c r="EI27" s="2">
        <v>5.5801681085298701E-4</v>
      </c>
      <c r="EJ27">
        <v>409.40959587828002</v>
      </c>
      <c r="EK27">
        <v>14.0620941340632</v>
      </c>
      <c r="EL27">
        <v>0.14881803412678199</v>
      </c>
      <c r="EM27">
        <v>0.95490316755617399</v>
      </c>
      <c r="EN27">
        <v>7.5908504225499898E-2</v>
      </c>
      <c r="EO27">
        <v>0.99528698802564797</v>
      </c>
      <c r="EP27" s="2">
        <v>6.9807782316772796E-9</v>
      </c>
      <c r="EQ27">
        <v>0.212467648576179</v>
      </c>
      <c r="ER27">
        <v>109308.05793484701</v>
      </c>
      <c r="ES27">
        <v>201.36311911806899</v>
      </c>
      <c r="ET27">
        <v>-41077.297790982702</v>
      </c>
      <c r="EU27">
        <v>8619947.8754846007</v>
      </c>
      <c r="EV27">
        <v>0.98555195401473294</v>
      </c>
      <c r="EW27">
        <v>1.0596372239176699</v>
      </c>
      <c r="EX27" s="2">
        <v>9.3844300076267404E-6</v>
      </c>
      <c r="EY27">
        <v>108572.95617778201</v>
      </c>
      <c r="EZ27" s="2">
        <v>9.2534530943637192E-6</v>
      </c>
      <c r="FA27">
        <v>106973.553362955</v>
      </c>
      <c r="FB27" s="2">
        <v>9.9253116248642094E-6</v>
      </c>
      <c r="FC27">
        <v>115171.620749339</v>
      </c>
      <c r="FD27">
        <v>77.607835709673196</v>
      </c>
      <c r="FE27">
        <v>3482.10734677952</v>
      </c>
      <c r="FF27">
        <v>0.98079529578580804</v>
      </c>
      <c r="FG27">
        <v>1.7241879493445299E-3</v>
      </c>
      <c r="FH27">
        <v>0.36136641651853801</v>
      </c>
      <c r="FI27">
        <v>8.7875824192877594E-3</v>
      </c>
      <c r="FJ27">
        <v>126293.877703323</v>
      </c>
      <c r="FK27">
        <v>33.455919580454101</v>
      </c>
      <c r="FL27">
        <v>0.84178960668774505</v>
      </c>
      <c r="FM27">
        <v>2.2137323943661902</v>
      </c>
      <c r="FN27" s="2">
        <v>9.4702773064010094E-6</v>
      </c>
      <c r="FO27">
        <v>108007.869718309</v>
      </c>
      <c r="FP27" s="2">
        <v>8.0333410037910301E-6</v>
      </c>
      <c r="FQ27">
        <v>90518.991242083401</v>
      </c>
      <c r="FR27" s="2">
        <v>2.0471390321788899E-5</v>
      </c>
      <c r="FS27">
        <v>242359.49154929499</v>
      </c>
      <c r="FT27">
        <v>55.8274647887323</v>
      </c>
      <c r="FU27">
        <v>1.9657558024201501E-2</v>
      </c>
      <c r="FV27">
        <v>1886.04014084507</v>
      </c>
      <c r="FW27">
        <v>0.66409864114262995</v>
      </c>
      <c r="FX27">
        <v>0.76985632962862505</v>
      </c>
      <c r="FY27">
        <v>415.554064669708</v>
      </c>
      <c r="FZ27">
        <v>0.52647775738940605</v>
      </c>
      <c r="GA27">
        <v>6.8836019874892402</v>
      </c>
    </row>
    <row r="28" spans="1:183" x14ac:dyDescent="0.2">
      <c r="A28" t="s">
        <v>2466</v>
      </c>
      <c r="B28" t="s">
        <v>182</v>
      </c>
      <c r="C28" t="s">
        <v>663</v>
      </c>
      <c r="D28" s="1">
        <v>42408</v>
      </c>
      <c r="E28" t="s">
        <v>362</v>
      </c>
      <c r="F28" t="s">
        <v>185</v>
      </c>
      <c r="G28" t="s">
        <v>186</v>
      </c>
      <c r="H28">
        <v>1</v>
      </c>
      <c r="I28">
        <v>400</v>
      </c>
      <c r="J28">
        <v>10</v>
      </c>
      <c r="K28" t="s">
        <v>187</v>
      </c>
      <c r="L28" t="s">
        <v>664</v>
      </c>
      <c r="M28">
        <v>5</v>
      </c>
      <c r="N28">
        <v>0.716796875</v>
      </c>
      <c r="O28">
        <v>0.716796875</v>
      </c>
      <c r="P28" t="s">
        <v>665</v>
      </c>
      <c r="Q28">
        <v>0</v>
      </c>
      <c r="R28" t="s">
        <v>194</v>
      </c>
      <c r="T28">
        <v>80025.285619999995</v>
      </c>
      <c r="U28">
        <v>80316.865839999999</v>
      </c>
      <c r="V28">
        <v>31264</v>
      </c>
      <c r="W28">
        <v>18263.25548</v>
      </c>
      <c r="X28">
        <v>0.22821855999999999</v>
      </c>
      <c r="Y28">
        <v>30.841824290000002</v>
      </c>
      <c r="Z28">
        <v>1.8293002999999999E-2</v>
      </c>
      <c r="AA28">
        <v>0.118897372</v>
      </c>
      <c r="AB28">
        <v>2.0336486119999999</v>
      </c>
      <c r="AC28">
        <v>0.49172703400000001</v>
      </c>
      <c r="AD28">
        <v>1.0336486119999999</v>
      </c>
      <c r="AE28" t="s">
        <v>666</v>
      </c>
      <c r="AF28" t="s">
        <v>667</v>
      </c>
      <c r="AG28" t="s">
        <v>668</v>
      </c>
      <c r="AH28" t="s">
        <v>193</v>
      </c>
      <c r="AI28" t="s">
        <v>193</v>
      </c>
      <c r="AJ28" t="s">
        <v>193</v>
      </c>
      <c r="AK28" t="s">
        <v>193</v>
      </c>
      <c r="AL28" t="s">
        <v>193</v>
      </c>
      <c r="AM28" t="s">
        <v>193</v>
      </c>
      <c r="AN28" t="s">
        <v>193</v>
      </c>
      <c r="AO28" t="s">
        <v>193</v>
      </c>
      <c r="AP28" t="s">
        <v>193</v>
      </c>
      <c r="AQ28">
        <v>0.20731333399999999</v>
      </c>
      <c r="AR28" t="s">
        <v>193</v>
      </c>
      <c r="AS28" t="s">
        <v>193</v>
      </c>
      <c r="AT28">
        <v>106.1955243</v>
      </c>
      <c r="AU28" t="s">
        <v>193</v>
      </c>
      <c r="AV28" s="2">
        <v>67600000</v>
      </c>
      <c r="AW28">
        <v>42.67374616</v>
      </c>
      <c r="AX28">
        <v>3882.3273479999998</v>
      </c>
      <c r="AY28">
        <v>-4.2909675060000003</v>
      </c>
      <c r="AZ28">
        <v>32.156420400000002</v>
      </c>
      <c r="BA28">
        <v>56</v>
      </c>
      <c r="BB28">
        <v>-802</v>
      </c>
      <c r="BC28">
        <v>-3</v>
      </c>
      <c r="BD28">
        <v>31</v>
      </c>
      <c r="BE28">
        <v>56</v>
      </c>
      <c r="BF28">
        <v>73</v>
      </c>
      <c r="BG28">
        <v>85</v>
      </c>
      <c r="BH28">
        <v>62.30832487</v>
      </c>
      <c r="BI28">
        <v>603</v>
      </c>
      <c r="BJ28">
        <v>42</v>
      </c>
      <c r="BK28">
        <v>1405</v>
      </c>
      <c r="BL28">
        <v>35.11142246</v>
      </c>
      <c r="BM28">
        <v>18.055503059999999</v>
      </c>
      <c r="BN28">
        <v>32.950166330000002</v>
      </c>
      <c r="BO28">
        <v>1.460109095</v>
      </c>
      <c r="BP28">
        <v>0.40384615400000001</v>
      </c>
      <c r="BQ28" t="s">
        <v>194</v>
      </c>
      <c r="BR28" s="2">
        <v>178000000</v>
      </c>
      <c r="BS28">
        <v>75.520698879999998</v>
      </c>
      <c r="BT28">
        <v>3427.421546</v>
      </c>
      <c r="BU28">
        <v>53359.61004</v>
      </c>
      <c r="BV28">
        <v>0.43929708899999997</v>
      </c>
      <c r="BW28">
        <v>93.274856569999997</v>
      </c>
      <c r="BX28">
        <v>1.07640625</v>
      </c>
      <c r="BY28">
        <v>86.489257809999998</v>
      </c>
      <c r="BZ28">
        <v>63.140495299999998</v>
      </c>
      <c r="CA28" t="s">
        <v>669</v>
      </c>
      <c r="CB28" t="s">
        <v>670</v>
      </c>
      <c r="CC28" t="s">
        <v>671</v>
      </c>
      <c r="CD28" t="s">
        <v>672</v>
      </c>
      <c r="CE28" t="s">
        <v>673</v>
      </c>
      <c r="CF28" t="s">
        <v>674</v>
      </c>
      <c r="CG28" t="s">
        <v>675</v>
      </c>
      <c r="CH28">
        <v>104.8179056</v>
      </c>
      <c r="CI28">
        <v>38.925676060000001</v>
      </c>
      <c r="CJ28">
        <v>-4.2717758290000001</v>
      </c>
      <c r="CK28">
        <v>31.95968465</v>
      </c>
      <c r="CL28">
        <v>106</v>
      </c>
      <c r="CM28">
        <v>20</v>
      </c>
      <c r="CN28">
        <v>100</v>
      </c>
      <c r="CO28">
        <v>104</v>
      </c>
      <c r="CP28">
        <v>106</v>
      </c>
      <c r="CQ28">
        <v>108</v>
      </c>
      <c r="CR28">
        <v>109</v>
      </c>
      <c r="CS28">
        <v>6.2390444829999998</v>
      </c>
      <c r="CT28">
        <v>161</v>
      </c>
      <c r="CU28">
        <v>107</v>
      </c>
      <c r="CV28">
        <v>4</v>
      </c>
      <c r="CW28">
        <v>141</v>
      </c>
      <c r="CX28">
        <v>3.5181303669999999</v>
      </c>
      <c r="CY28">
        <v>1.935410477</v>
      </c>
      <c r="CZ28">
        <v>3.2893103890000002</v>
      </c>
      <c r="DA28">
        <v>5.9522696999999999E-2</v>
      </c>
      <c r="DB28">
        <v>1.8867925000000001E-2</v>
      </c>
      <c r="DC28">
        <v>1.179810467</v>
      </c>
      <c r="DD28">
        <v>3.9192455370000001</v>
      </c>
      <c r="DE28">
        <v>1048.1790559999999</v>
      </c>
      <c r="DF28">
        <v>9.3335213E-2</v>
      </c>
      <c r="DG28">
        <v>1.727828E-3</v>
      </c>
      <c r="DH28">
        <v>874.5</v>
      </c>
      <c r="DI28">
        <v>106</v>
      </c>
      <c r="DJ28">
        <v>-1562</v>
      </c>
      <c r="DK28">
        <v>109</v>
      </c>
      <c r="DL28">
        <v>0.43929708899999997</v>
      </c>
      <c r="DM28">
        <v>93.274856569999997</v>
      </c>
      <c r="DN28">
        <v>1.07640625</v>
      </c>
      <c r="DO28">
        <v>86.489257809999998</v>
      </c>
      <c r="DP28">
        <v>63.140495299999998</v>
      </c>
      <c r="DQ28" t="s">
        <v>676</v>
      </c>
      <c r="DR28" t="s">
        <v>677</v>
      </c>
      <c r="DS28" t="s">
        <v>678</v>
      </c>
      <c r="DT28" t="s">
        <v>679</v>
      </c>
      <c r="DU28" t="s">
        <v>673</v>
      </c>
      <c r="DV28" t="s">
        <v>674</v>
      </c>
      <c r="DW28" t="s">
        <v>680</v>
      </c>
      <c r="DX28">
        <v>3.9701764E-2</v>
      </c>
      <c r="DY28">
        <v>105.32845380000001</v>
      </c>
      <c r="DZ28">
        <v>26.145809109999998</v>
      </c>
      <c r="EA28">
        <v>7.218398627</v>
      </c>
      <c r="EB28">
        <v>2.172954507</v>
      </c>
      <c r="EC28">
        <v>2.7870845200000001</v>
      </c>
      <c r="ED28">
        <v>21.205689079999999</v>
      </c>
      <c r="EE28">
        <v>7.218398627</v>
      </c>
      <c r="EF28">
        <v>210.65690760000001</v>
      </c>
      <c r="EG28">
        <v>75.449790359999994</v>
      </c>
      <c r="EH28">
        <v>7.2179468089999999</v>
      </c>
      <c r="EI28">
        <v>1.4082011E-2</v>
      </c>
      <c r="EJ28">
        <v>28.973529200000002</v>
      </c>
      <c r="EK28">
        <v>2.7870845200000001</v>
      </c>
      <c r="EL28">
        <v>0.45805098399999999</v>
      </c>
      <c r="EM28">
        <v>0.981605014</v>
      </c>
      <c r="EN28">
        <v>0.39312061700000001</v>
      </c>
      <c r="EO28">
        <v>0.99862616999999998</v>
      </c>
      <c r="EP28" s="2">
        <v>3.0699999999999998E-6</v>
      </c>
      <c r="EQ28">
        <v>0.44592402799999997</v>
      </c>
      <c r="ER28">
        <v>11105.74223</v>
      </c>
      <c r="ES28">
        <v>75.449790359999994</v>
      </c>
      <c r="ET28">
        <v>-2630.4458800000002</v>
      </c>
      <c r="EU28">
        <v>202337.23209999999</v>
      </c>
      <c r="EV28">
        <v>0.88394011900000002</v>
      </c>
      <c r="EW28">
        <v>1.722995016</v>
      </c>
      <c r="EX28" s="2">
        <v>9.3800000000000003E-5</v>
      </c>
      <c r="EY28">
        <v>10970.53953</v>
      </c>
      <c r="EZ28" s="2">
        <v>8.3499999999999997E-5</v>
      </c>
      <c r="FA28">
        <v>9658.8392559999993</v>
      </c>
      <c r="FB28" s="2">
        <v>1.5799999999999999E-4</v>
      </c>
      <c r="FC28">
        <v>19151.083269999999</v>
      </c>
      <c r="FD28">
        <v>2308.7570430000001</v>
      </c>
      <c r="FE28">
        <v>19952.484899999999</v>
      </c>
      <c r="FF28">
        <v>0.84488180099999999</v>
      </c>
      <c r="FG28" s="2">
        <v>2.4699999999999999E-4</v>
      </c>
      <c r="FH28">
        <v>1.4974879999999999E-2</v>
      </c>
      <c r="FI28">
        <v>0.20142739900000001</v>
      </c>
      <c r="FJ28">
        <v>13819.818929999999</v>
      </c>
      <c r="FK28">
        <v>5.0537577860000003</v>
      </c>
      <c r="FL28">
        <v>0.69194979499999998</v>
      </c>
      <c r="FM28">
        <v>6833.4822480000003</v>
      </c>
      <c r="FN28" s="2">
        <v>1.0900000000000001E-4</v>
      </c>
      <c r="FO28">
        <v>10044.324710000001</v>
      </c>
      <c r="FP28" s="2">
        <v>8.0199999999999998E-5</v>
      </c>
      <c r="FQ28">
        <v>6718.8068730000005</v>
      </c>
      <c r="FR28">
        <v>0.59731337699999998</v>
      </c>
      <c r="FS28" s="2">
        <v>78200000</v>
      </c>
      <c r="FT28">
        <v>229.09562890000001</v>
      </c>
      <c r="FU28">
        <v>4.0873439999999997E-2</v>
      </c>
      <c r="FV28">
        <v>2481.119893</v>
      </c>
      <c r="FW28">
        <v>0.44266189</v>
      </c>
      <c r="FX28">
        <v>0.179279683</v>
      </c>
      <c r="FY28">
        <v>137.2390078</v>
      </c>
      <c r="FZ28">
        <v>6802.3695369999996</v>
      </c>
      <c r="GA28">
        <v>6.9661136639999999</v>
      </c>
    </row>
    <row r="29" spans="1:183" x14ac:dyDescent="0.2">
      <c r="A29" t="s">
        <v>2467</v>
      </c>
      <c r="B29" t="s">
        <v>182</v>
      </c>
      <c r="C29" t="s">
        <v>681</v>
      </c>
      <c r="D29" s="1">
        <v>42585</v>
      </c>
      <c r="E29" t="s">
        <v>362</v>
      </c>
      <c r="F29" t="s">
        <v>185</v>
      </c>
      <c r="G29" t="s">
        <v>186</v>
      </c>
      <c r="H29">
        <v>1</v>
      </c>
      <c r="I29">
        <v>400</v>
      </c>
      <c r="J29">
        <v>10</v>
      </c>
      <c r="K29" t="s">
        <v>187</v>
      </c>
      <c r="L29" t="s">
        <v>682</v>
      </c>
      <c r="M29">
        <v>5</v>
      </c>
      <c r="N29">
        <v>0.751953125</v>
      </c>
      <c r="O29">
        <v>0.751953125</v>
      </c>
      <c r="P29" t="s">
        <v>683</v>
      </c>
      <c r="Q29">
        <v>0</v>
      </c>
      <c r="R29" t="s">
        <v>194</v>
      </c>
      <c r="T29">
        <v>164625.37520000001</v>
      </c>
      <c r="U29">
        <v>165239.4595</v>
      </c>
      <c r="V29">
        <v>58447</v>
      </c>
      <c r="W29">
        <v>35962.507299999997</v>
      </c>
      <c r="X29">
        <v>0.21845057200000001</v>
      </c>
      <c r="Y29">
        <v>41.426492770000003</v>
      </c>
      <c r="Z29">
        <v>1.3619053000000001E-2</v>
      </c>
      <c r="AA29">
        <v>6.5901611999999998E-2</v>
      </c>
      <c r="AB29">
        <v>2.475718831</v>
      </c>
      <c r="AC29">
        <v>0.40392308999999998</v>
      </c>
      <c r="AD29">
        <v>1.475718831</v>
      </c>
      <c r="AE29" t="s">
        <v>684</v>
      </c>
      <c r="AF29" t="s">
        <v>685</v>
      </c>
      <c r="AG29" t="s">
        <v>686</v>
      </c>
      <c r="AH29" t="s">
        <v>193</v>
      </c>
      <c r="AI29" t="s">
        <v>193</v>
      </c>
      <c r="AJ29" t="s">
        <v>193</v>
      </c>
      <c r="AK29" t="s">
        <v>193</v>
      </c>
      <c r="AL29" t="s">
        <v>193</v>
      </c>
      <c r="AM29" t="s">
        <v>193</v>
      </c>
      <c r="AN29" t="s">
        <v>193</v>
      </c>
      <c r="AO29" t="s">
        <v>193</v>
      </c>
      <c r="AP29" t="s">
        <v>193</v>
      </c>
      <c r="AQ29">
        <v>0.35065884200000003</v>
      </c>
      <c r="AR29" t="s">
        <v>193</v>
      </c>
      <c r="AS29" t="s">
        <v>193</v>
      </c>
      <c r="AT29">
        <v>141.10297750000001</v>
      </c>
      <c r="AU29" t="s">
        <v>193</v>
      </c>
      <c r="AV29" s="2">
        <v>169000000</v>
      </c>
      <c r="AW29">
        <v>34.546409570000002</v>
      </c>
      <c r="AX29">
        <v>4477.1549240000004</v>
      </c>
      <c r="AY29">
        <v>-5.4191693279999997</v>
      </c>
      <c r="AZ29">
        <v>54.866571999999998</v>
      </c>
      <c r="BA29">
        <v>44</v>
      </c>
      <c r="BB29">
        <v>-995</v>
      </c>
      <c r="BC29">
        <v>4</v>
      </c>
      <c r="BD29">
        <v>29</v>
      </c>
      <c r="BE29">
        <v>44</v>
      </c>
      <c r="BF29">
        <v>57</v>
      </c>
      <c r="BG29">
        <v>75</v>
      </c>
      <c r="BH29">
        <v>66.911545520000004</v>
      </c>
      <c r="BI29">
        <v>1510</v>
      </c>
      <c r="BJ29">
        <v>28</v>
      </c>
      <c r="BK29">
        <v>2505</v>
      </c>
      <c r="BL29">
        <v>31.263691529999999</v>
      </c>
      <c r="BM29">
        <v>12.648628649999999</v>
      </c>
      <c r="BN29">
        <v>29.43542012</v>
      </c>
      <c r="BO29">
        <v>1.9368596149999999</v>
      </c>
      <c r="BP29">
        <v>0.325581395</v>
      </c>
      <c r="BQ29" t="s">
        <v>194</v>
      </c>
      <c r="BR29" s="2">
        <v>331000000</v>
      </c>
      <c r="BS29">
        <v>75.303448380000006</v>
      </c>
      <c r="BT29">
        <v>5708.4300450000001</v>
      </c>
      <c r="BU29">
        <v>83003.753339999996</v>
      </c>
      <c r="BV29">
        <v>0.53998901399999999</v>
      </c>
      <c r="BW29">
        <v>80.073295590000001</v>
      </c>
      <c r="BX29">
        <v>0.99233581500000001</v>
      </c>
      <c r="BY29">
        <v>71.802856449999993</v>
      </c>
      <c r="BZ29">
        <v>100.59828950000001</v>
      </c>
      <c r="CA29" t="s">
        <v>687</v>
      </c>
      <c r="CB29" t="s">
        <v>688</v>
      </c>
      <c r="CC29" t="s">
        <v>689</v>
      </c>
      <c r="CD29" t="s">
        <v>690</v>
      </c>
      <c r="CE29" t="s">
        <v>691</v>
      </c>
      <c r="CF29" t="s">
        <v>692</v>
      </c>
      <c r="CG29" t="s">
        <v>693</v>
      </c>
      <c r="CH29">
        <v>104.0036614</v>
      </c>
      <c r="CI29">
        <v>44.876746740000002</v>
      </c>
      <c r="CJ29">
        <v>-5.4034527929999996</v>
      </c>
      <c r="CK29">
        <v>54.728383289999996</v>
      </c>
      <c r="CL29">
        <v>105</v>
      </c>
      <c r="CM29">
        <v>1</v>
      </c>
      <c r="CN29">
        <v>101</v>
      </c>
      <c r="CO29">
        <v>103</v>
      </c>
      <c r="CP29">
        <v>105</v>
      </c>
      <c r="CQ29">
        <v>106</v>
      </c>
      <c r="CR29">
        <v>108</v>
      </c>
      <c r="CS29">
        <v>6.6990108770000001</v>
      </c>
      <c r="CT29">
        <v>252</v>
      </c>
      <c r="CU29">
        <v>105</v>
      </c>
      <c r="CV29">
        <v>3</v>
      </c>
      <c r="CW29">
        <v>251</v>
      </c>
      <c r="CX29">
        <v>3.1150183739999999</v>
      </c>
      <c r="CY29">
        <v>1.326004602</v>
      </c>
      <c r="CZ29">
        <v>2.9263606339999999</v>
      </c>
      <c r="DA29">
        <v>6.4411298000000006E-2</v>
      </c>
      <c r="DB29">
        <v>1.4354067E-2</v>
      </c>
      <c r="DC29">
        <v>1.126710527</v>
      </c>
      <c r="DD29">
        <v>3.742851355</v>
      </c>
      <c r="DE29">
        <v>1040.0366140000001</v>
      </c>
      <c r="DF29">
        <v>0.11737623599999999</v>
      </c>
      <c r="DG29">
        <v>1.4171279999999999E-3</v>
      </c>
      <c r="DH29">
        <v>3343</v>
      </c>
      <c r="DI29">
        <v>104</v>
      </c>
      <c r="DJ29">
        <v>-3365</v>
      </c>
      <c r="DK29">
        <v>107</v>
      </c>
      <c r="DL29">
        <v>0.53998901399999999</v>
      </c>
      <c r="DM29">
        <v>80.073295590000001</v>
      </c>
      <c r="DN29">
        <v>0.99233581500000001</v>
      </c>
      <c r="DO29">
        <v>71.802856449999993</v>
      </c>
      <c r="DP29">
        <v>100.59828950000001</v>
      </c>
      <c r="DQ29" t="s">
        <v>694</v>
      </c>
      <c r="DR29" t="s">
        <v>695</v>
      </c>
      <c r="DS29" t="s">
        <v>696</v>
      </c>
      <c r="DT29" t="s">
        <v>697</v>
      </c>
      <c r="DU29" t="s">
        <v>691</v>
      </c>
      <c r="DV29" t="s">
        <v>692</v>
      </c>
      <c r="DW29" t="s">
        <v>698</v>
      </c>
      <c r="DX29">
        <v>7.5523939999999998E-2</v>
      </c>
      <c r="DY29">
        <v>104.4230838</v>
      </c>
      <c r="DZ29">
        <v>27.727797729999999</v>
      </c>
      <c r="EA29">
        <v>6.6527023329999997</v>
      </c>
      <c r="EB29">
        <v>2.0026629549999999</v>
      </c>
      <c r="EC29">
        <v>2.4445282380000002</v>
      </c>
      <c r="ED29">
        <v>25.750220880000001</v>
      </c>
      <c r="EE29">
        <v>6.6527023329999997</v>
      </c>
      <c r="EF29">
        <v>208.8461676</v>
      </c>
      <c r="EG29">
        <v>79.185251710000003</v>
      </c>
      <c r="EH29">
        <v>6.6527023329999997</v>
      </c>
      <c r="EI29">
        <v>2.5713910999999999E-2</v>
      </c>
      <c r="EJ29">
        <v>31.725939189999998</v>
      </c>
      <c r="EK29">
        <v>2.4445282380000002</v>
      </c>
      <c r="EL29">
        <v>0.52015200699999997</v>
      </c>
      <c r="EM29">
        <v>0.99074415500000002</v>
      </c>
      <c r="EN29">
        <v>0.47042847500000001</v>
      </c>
      <c r="EO29">
        <v>0.99951186999999997</v>
      </c>
      <c r="EP29" s="2">
        <v>2.63E-4</v>
      </c>
      <c r="EQ29">
        <v>0.42790373199999998</v>
      </c>
      <c r="ER29">
        <v>10916.045260000001</v>
      </c>
      <c r="ES29">
        <v>79.185251710000003</v>
      </c>
      <c r="ET29">
        <v>-3951.809855</v>
      </c>
      <c r="EU29">
        <v>431676.84330000001</v>
      </c>
      <c r="EV29">
        <v>0.84984026899999998</v>
      </c>
      <c r="EW29">
        <v>2.0933695960000001</v>
      </c>
      <c r="EX29" s="2">
        <v>1.2999999999999999E-4</v>
      </c>
      <c r="EY29">
        <v>10813.261640000001</v>
      </c>
      <c r="EZ29" s="2">
        <v>1.16E-4</v>
      </c>
      <c r="FA29">
        <v>9155.2310419999994</v>
      </c>
      <c r="FB29" s="2">
        <v>2.2900000000000001E-4</v>
      </c>
      <c r="FC29">
        <v>22879.42914</v>
      </c>
      <c r="FD29">
        <v>4777.296816</v>
      </c>
      <c r="FE29">
        <v>32020.702219999999</v>
      </c>
      <c r="FF29">
        <v>0.79246417899999999</v>
      </c>
      <c r="FG29" s="2">
        <v>1.3100000000000001E-4</v>
      </c>
      <c r="FH29">
        <v>1.1306003E-2</v>
      </c>
      <c r="FI29">
        <v>0.314353999</v>
      </c>
      <c r="FJ29">
        <v>18935.569390000001</v>
      </c>
      <c r="FK29">
        <v>6.0356496030000004</v>
      </c>
      <c r="FL29">
        <v>0.72440892899999998</v>
      </c>
      <c r="FM29">
        <v>20693.727200000001</v>
      </c>
      <c r="FN29" s="2">
        <v>2.8499999999999999E-4</v>
      </c>
      <c r="FO29">
        <v>9887.5229080000008</v>
      </c>
      <c r="FP29" s="2">
        <v>2.5599999999999999E-4</v>
      </c>
      <c r="FQ29">
        <v>6893.772363</v>
      </c>
      <c r="FR29">
        <v>1.87396758</v>
      </c>
      <c r="FS29" s="2">
        <v>229000000</v>
      </c>
      <c r="FT29">
        <v>299.79924749999998</v>
      </c>
      <c r="FU29">
        <v>3.3178314E-2</v>
      </c>
      <c r="FV29">
        <v>4394.6370079999997</v>
      </c>
      <c r="FW29">
        <v>0.48634760999999999</v>
      </c>
      <c r="FX29">
        <v>0.154601605</v>
      </c>
      <c r="FY29">
        <v>208.47780839999999</v>
      </c>
      <c r="FZ29">
        <v>20651.8891</v>
      </c>
      <c r="GA29">
        <v>7.126481879</v>
      </c>
    </row>
    <row r="30" spans="1:183" x14ac:dyDescent="0.2">
      <c r="A30" t="s">
        <v>2468</v>
      </c>
      <c r="B30" t="s">
        <v>182</v>
      </c>
      <c r="C30" t="s">
        <v>699</v>
      </c>
      <c r="D30" s="1">
        <v>42884</v>
      </c>
      <c r="E30" t="s">
        <v>700</v>
      </c>
      <c r="F30" t="s">
        <v>185</v>
      </c>
      <c r="G30" t="s">
        <v>186</v>
      </c>
      <c r="H30">
        <v>1</v>
      </c>
      <c r="I30">
        <v>400</v>
      </c>
      <c r="J30">
        <v>10</v>
      </c>
      <c r="K30" t="s">
        <v>187</v>
      </c>
      <c r="L30" t="s">
        <v>701</v>
      </c>
      <c r="M30">
        <v>1.5</v>
      </c>
      <c r="N30">
        <v>0.640625</v>
      </c>
      <c r="O30">
        <v>0.640625</v>
      </c>
      <c r="P30" t="s">
        <v>702</v>
      </c>
      <c r="Q30">
        <v>0</v>
      </c>
      <c r="R30" t="s">
        <v>194</v>
      </c>
      <c r="T30">
        <v>4805.4294739999996</v>
      </c>
      <c r="U30">
        <v>4851.5482179999999</v>
      </c>
      <c r="V30">
        <v>7881</v>
      </c>
      <c r="W30">
        <v>3363.1448350000001</v>
      </c>
      <c r="X30">
        <v>0.69986353000000001</v>
      </c>
      <c r="Y30">
        <v>40.586924940000003</v>
      </c>
      <c r="Z30">
        <v>1.3900772E-2</v>
      </c>
      <c r="AA30">
        <v>6.8656250000000002E-2</v>
      </c>
      <c r="AB30">
        <v>2.4421554680000002</v>
      </c>
      <c r="AC30">
        <v>0.40947434100000002</v>
      </c>
      <c r="AD30">
        <v>1.4421554679999999</v>
      </c>
      <c r="AE30" t="s">
        <v>703</v>
      </c>
      <c r="AF30" t="s">
        <v>704</v>
      </c>
      <c r="AG30" t="s">
        <v>705</v>
      </c>
      <c r="AH30" t="s">
        <v>193</v>
      </c>
      <c r="AI30" t="s">
        <v>193</v>
      </c>
      <c r="AJ30" t="s">
        <v>193</v>
      </c>
      <c r="AK30" t="s">
        <v>193</v>
      </c>
      <c r="AL30" t="s">
        <v>193</v>
      </c>
      <c r="AM30" t="s">
        <v>193</v>
      </c>
      <c r="AN30" t="s">
        <v>193</v>
      </c>
      <c r="AO30" t="s">
        <v>193</v>
      </c>
      <c r="AP30" t="s">
        <v>193</v>
      </c>
      <c r="AQ30">
        <v>0.23726561800000001</v>
      </c>
      <c r="AR30" t="s">
        <v>193</v>
      </c>
      <c r="AS30" t="s">
        <v>193</v>
      </c>
      <c r="AT30">
        <v>61.223736799999998</v>
      </c>
      <c r="AU30" t="s">
        <v>193</v>
      </c>
      <c r="AV30">
        <v>4115282.3629999999</v>
      </c>
      <c r="AW30">
        <v>-25.618195660000001</v>
      </c>
      <c r="AX30">
        <v>13797.2222</v>
      </c>
      <c r="AY30">
        <v>-3.605012925</v>
      </c>
      <c r="AZ30">
        <v>14.86653594</v>
      </c>
      <c r="BA30">
        <v>8</v>
      </c>
      <c r="BB30">
        <v>-882</v>
      </c>
      <c r="BC30">
        <v>-117</v>
      </c>
      <c r="BD30">
        <v>-17</v>
      </c>
      <c r="BE30">
        <v>8</v>
      </c>
      <c r="BF30">
        <v>25</v>
      </c>
      <c r="BG30">
        <v>39</v>
      </c>
      <c r="BH30">
        <v>117.4615775</v>
      </c>
      <c r="BI30">
        <v>262</v>
      </c>
      <c r="BJ30">
        <v>42</v>
      </c>
      <c r="BK30">
        <v>1144</v>
      </c>
      <c r="BL30">
        <v>65.469088029999995</v>
      </c>
      <c r="BM30">
        <v>20.74637719</v>
      </c>
      <c r="BN30">
        <v>53.501966760000002</v>
      </c>
      <c r="BO30">
        <v>-4.5850839419999998</v>
      </c>
      <c r="BP30">
        <v>5.25</v>
      </c>
      <c r="BQ30" t="s">
        <v>194</v>
      </c>
      <c r="BR30" s="2">
        <v>114000000</v>
      </c>
      <c r="BS30">
        <v>120.2227688</v>
      </c>
      <c r="BT30">
        <v>-124.28791150000001</v>
      </c>
      <c r="BU30">
        <v>2629.0249020000001</v>
      </c>
      <c r="BV30">
        <v>0.50663928199999997</v>
      </c>
      <c r="BW30" t="s">
        <v>194</v>
      </c>
      <c r="BX30">
        <v>0.97326452600000002</v>
      </c>
      <c r="BY30" t="s">
        <v>194</v>
      </c>
      <c r="BZ30">
        <v>7.2199249270000001</v>
      </c>
      <c r="CA30" t="s">
        <v>706</v>
      </c>
      <c r="CB30" t="s">
        <v>707</v>
      </c>
      <c r="CC30" t="s">
        <v>708</v>
      </c>
      <c r="CD30" t="s">
        <v>709</v>
      </c>
      <c r="CE30" t="s">
        <v>710</v>
      </c>
      <c r="CF30" t="s">
        <v>711</v>
      </c>
      <c r="CG30" t="s">
        <v>712</v>
      </c>
      <c r="CH30">
        <v>97.990864099999996</v>
      </c>
      <c r="CI30">
        <v>138.0686895</v>
      </c>
      <c r="CJ30">
        <v>-3.604402833</v>
      </c>
      <c r="CK30">
        <v>14.87461341</v>
      </c>
      <c r="CL30">
        <v>101</v>
      </c>
      <c r="CM30">
        <v>12</v>
      </c>
      <c r="CN30">
        <v>89</v>
      </c>
      <c r="CO30">
        <v>99</v>
      </c>
      <c r="CP30">
        <v>101</v>
      </c>
      <c r="CQ30">
        <v>103</v>
      </c>
      <c r="CR30">
        <v>104</v>
      </c>
      <c r="CS30">
        <v>11.75026338</v>
      </c>
      <c r="CT30">
        <v>127</v>
      </c>
      <c r="CU30">
        <v>102</v>
      </c>
      <c r="CV30">
        <v>4</v>
      </c>
      <c r="CW30">
        <v>115</v>
      </c>
      <c r="CX30">
        <v>6.5431835859999996</v>
      </c>
      <c r="CY30">
        <v>2.0948226700000001</v>
      </c>
      <c r="CZ30">
        <v>5.3532546630000004</v>
      </c>
      <c r="DA30">
        <v>0.119911825</v>
      </c>
      <c r="DB30">
        <v>1.980198E-2</v>
      </c>
      <c r="DC30">
        <v>1.268957973</v>
      </c>
      <c r="DD30">
        <v>4.215387142</v>
      </c>
      <c r="DE30">
        <v>979.90864099999999</v>
      </c>
      <c r="DF30">
        <v>8.8232116999999999E-2</v>
      </c>
      <c r="DG30">
        <v>3.3459750000000002E-3</v>
      </c>
      <c r="DH30">
        <v>261.5</v>
      </c>
      <c r="DI30">
        <v>100</v>
      </c>
      <c r="DJ30">
        <v>-310.5</v>
      </c>
      <c r="DK30">
        <v>104</v>
      </c>
      <c r="DL30">
        <v>0.50663928199999997</v>
      </c>
      <c r="DM30" t="s">
        <v>194</v>
      </c>
      <c r="DN30">
        <v>0.97326452600000002</v>
      </c>
      <c r="DO30" t="s">
        <v>194</v>
      </c>
      <c r="DP30">
        <v>7.2199249270000001</v>
      </c>
      <c r="DQ30" t="s">
        <v>713</v>
      </c>
      <c r="DR30" t="s">
        <v>714</v>
      </c>
      <c r="DS30" t="s">
        <v>715</v>
      </c>
      <c r="DT30" t="s">
        <v>716</v>
      </c>
      <c r="DU30" t="s">
        <v>710</v>
      </c>
      <c r="DV30" t="s">
        <v>711</v>
      </c>
      <c r="DW30" t="s">
        <v>717</v>
      </c>
      <c r="DX30">
        <v>3.4629374999999997E-2</v>
      </c>
      <c r="DY30">
        <v>99.636139650000004</v>
      </c>
      <c r="DZ30">
        <v>80.057200859999995</v>
      </c>
      <c r="EA30">
        <v>7.4740968380000004</v>
      </c>
      <c r="EB30">
        <v>2.2499273390000001</v>
      </c>
      <c r="EC30">
        <v>3.8490586910000002</v>
      </c>
      <c r="ED30">
        <v>46.26982142</v>
      </c>
      <c r="EE30">
        <v>7.4740968380000004</v>
      </c>
      <c r="EF30">
        <v>199.27227930000001</v>
      </c>
      <c r="EG30">
        <v>259.1093664</v>
      </c>
      <c r="EH30">
        <v>7.473671349</v>
      </c>
      <c r="EI30">
        <v>1.4013672E-2</v>
      </c>
      <c r="EJ30">
        <v>61.085074220000003</v>
      </c>
      <c r="EK30">
        <v>3.8490586910000002</v>
      </c>
      <c r="EL30">
        <v>0.42873375499999999</v>
      </c>
      <c r="EM30">
        <v>0.97049218100000001</v>
      </c>
      <c r="EN30">
        <v>0.36244547100000002</v>
      </c>
      <c r="EO30">
        <v>0.99576761499999999</v>
      </c>
      <c r="EP30" s="2">
        <v>9.98E-5</v>
      </c>
      <c r="EQ30">
        <v>0.61849106899999995</v>
      </c>
      <c r="ER30">
        <v>9976.8749879999996</v>
      </c>
      <c r="ES30">
        <v>259.1093664</v>
      </c>
      <c r="ET30">
        <v>-18328.61493</v>
      </c>
      <c r="EU30">
        <v>1896209.632</v>
      </c>
      <c r="EV30">
        <v>0.90408850699999999</v>
      </c>
      <c r="EW30">
        <v>1.5060020240000001</v>
      </c>
      <c r="EX30" s="2">
        <v>1.27E-4</v>
      </c>
      <c r="EY30">
        <v>9642.3515759999991</v>
      </c>
      <c r="EZ30" s="2">
        <v>1.18E-4</v>
      </c>
      <c r="FA30">
        <v>8645.6999340000002</v>
      </c>
      <c r="FB30" s="2">
        <v>1.76E-4</v>
      </c>
      <c r="FC30">
        <v>14907.95181</v>
      </c>
      <c r="FD30">
        <v>559.60550350000005</v>
      </c>
      <c r="FE30">
        <v>5368.8646060000001</v>
      </c>
      <c r="FF30">
        <v>0.87184367500000004</v>
      </c>
      <c r="FG30" s="2">
        <v>9.8499999999999998E-4</v>
      </c>
      <c r="FH30">
        <v>8.2787366000000001E-2</v>
      </c>
      <c r="FI30">
        <v>6.0318067000000003E-2</v>
      </c>
      <c r="FJ30">
        <v>15390.6306</v>
      </c>
      <c r="FK30">
        <v>18.307278910000001</v>
      </c>
      <c r="FL30">
        <v>0.76823708199999996</v>
      </c>
      <c r="FM30">
        <v>1233.4251770000001</v>
      </c>
      <c r="FN30" s="2">
        <v>1.94E-4</v>
      </c>
      <c r="FO30">
        <v>7974.933771</v>
      </c>
      <c r="FP30" s="2">
        <v>1.65E-4</v>
      </c>
      <c r="FQ30">
        <v>5739.4518909999997</v>
      </c>
      <c r="FR30">
        <v>0.117876151</v>
      </c>
      <c r="FS30" s="2">
        <v>12900000</v>
      </c>
      <c r="FT30">
        <v>57.958543980000002</v>
      </c>
      <c r="FU30">
        <v>2.9301588999999999E-2</v>
      </c>
      <c r="FV30">
        <v>1085.6926189999999</v>
      </c>
      <c r="FW30">
        <v>0.54888403399999997</v>
      </c>
      <c r="FX30">
        <v>0.25098337799999998</v>
      </c>
      <c r="FY30">
        <v>350.32442129999998</v>
      </c>
      <c r="FZ30">
        <v>1217.5503100000001</v>
      </c>
      <c r="GA30">
        <v>6.9291606940000001</v>
      </c>
    </row>
    <row r="31" spans="1:183" x14ac:dyDescent="0.2">
      <c r="A31" t="s">
        <v>2469</v>
      </c>
      <c r="B31" s="3" t="s">
        <v>718</v>
      </c>
    </row>
    <row r="32" spans="1:183" x14ac:dyDescent="0.2">
      <c r="A32" t="s">
        <v>2470</v>
      </c>
      <c r="B32" t="s">
        <v>182</v>
      </c>
      <c r="C32" t="s">
        <v>719</v>
      </c>
      <c r="D32" s="1">
        <v>42879</v>
      </c>
      <c r="E32" t="s">
        <v>720</v>
      </c>
      <c r="F32" t="s">
        <v>185</v>
      </c>
      <c r="G32" t="s">
        <v>186</v>
      </c>
      <c r="H32">
        <v>1</v>
      </c>
      <c r="I32">
        <v>400</v>
      </c>
      <c r="J32">
        <v>10</v>
      </c>
      <c r="K32" t="s">
        <v>187</v>
      </c>
      <c r="L32" t="s">
        <v>721</v>
      </c>
      <c r="M32">
        <v>1.5</v>
      </c>
      <c r="N32">
        <v>0.650390625</v>
      </c>
      <c r="O32">
        <v>0.650390625</v>
      </c>
      <c r="P32" t="s">
        <v>722</v>
      </c>
      <c r="Q32">
        <v>0</v>
      </c>
      <c r="R32" t="s">
        <v>194</v>
      </c>
      <c r="T32">
        <v>85230.579419999995</v>
      </c>
      <c r="U32">
        <v>85344.395000000004</v>
      </c>
      <c r="V32">
        <v>134504</v>
      </c>
      <c r="W32">
        <v>21156.80674</v>
      </c>
      <c r="X32">
        <v>0.24823023499999999</v>
      </c>
      <c r="Y32">
        <v>36.106029900000003</v>
      </c>
      <c r="Z32">
        <v>1.562591E-2</v>
      </c>
      <c r="AA32">
        <v>8.6754677000000002E-2</v>
      </c>
      <c r="AB32">
        <v>2.2589278880000001</v>
      </c>
      <c r="AC32">
        <v>0.44268788100000001</v>
      </c>
      <c r="AD32">
        <v>1.2589278880000001</v>
      </c>
      <c r="AE32" t="s">
        <v>723</v>
      </c>
      <c r="AF32" t="s">
        <v>724</v>
      </c>
      <c r="AG32" t="s">
        <v>725</v>
      </c>
      <c r="AH32" t="s">
        <v>193</v>
      </c>
      <c r="AI32" t="s">
        <v>193</v>
      </c>
      <c r="AJ32" t="s">
        <v>193</v>
      </c>
      <c r="AK32" t="s">
        <v>193</v>
      </c>
      <c r="AL32" t="s">
        <v>193</v>
      </c>
      <c r="AM32" t="s">
        <v>193</v>
      </c>
      <c r="AN32" t="s">
        <v>193</v>
      </c>
      <c r="AO32" t="s">
        <v>193</v>
      </c>
      <c r="AP32" t="s">
        <v>193</v>
      </c>
      <c r="AQ32">
        <v>4.1047278E-2</v>
      </c>
      <c r="AR32" t="s">
        <v>193</v>
      </c>
      <c r="AS32" t="s">
        <v>193</v>
      </c>
      <c r="AT32">
        <v>92.956615339999999</v>
      </c>
      <c r="AU32" t="s">
        <v>193</v>
      </c>
      <c r="AV32" s="2">
        <v>88800000</v>
      </c>
      <c r="AW32">
        <v>62.816726639999999</v>
      </c>
      <c r="AX32">
        <v>7424.5036810000001</v>
      </c>
      <c r="AY32">
        <v>-3.6685402030000001</v>
      </c>
      <c r="AZ32">
        <v>27.88497739</v>
      </c>
      <c r="BA32">
        <v>71</v>
      </c>
      <c r="BB32">
        <v>-979</v>
      </c>
      <c r="BC32">
        <v>3</v>
      </c>
      <c r="BD32">
        <v>40</v>
      </c>
      <c r="BE32">
        <v>71</v>
      </c>
      <c r="BF32">
        <v>102</v>
      </c>
      <c r="BG32">
        <v>132</v>
      </c>
      <c r="BH32">
        <v>86.165559720000005</v>
      </c>
      <c r="BI32">
        <v>740</v>
      </c>
      <c r="BJ32">
        <v>62</v>
      </c>
      <c r="BK32">
        <v>1719</v>
      </c>
      <c r="BL32">
        <v>48.734493180000001</v>
      </c>
      <c r="BM32">
        <v>26.440625220000001</v>
      </c>
      <c r="BN32">
        <v>48.111617500000001</v>
      </c>
      <c r="BO32">
        <v>1.371697704</v>
      </c>
      <c r="BP32">
        <v>0.43661971799999999</v>
      </c>
      <c r="BQ32" t="s">
        <v>194</v>
      </c>
      <c r="BR32" s="2">
        <v>1530000000</v>
      </c>
      <c r="BS32">
        <v>106.63228789999999</v>
      </c>
      <c r="BT32">
        <v>5361.055531</v>
      </c>
      <c r="BU32">
        <v>95066.175560000003</v>
      </c>
      <c r="BV32">
        <v>0.54250768999999999</v>
      </c>
      <c r="BW32">
        <v>121.0608902</v>
      </c>
      <c r="BX32">
        <v>1.0183916630000001</v>
      </c>
      <c r="BY32">
        <v>113.6976318</v>
      </c>
      <c r="BZ32">
        <v>88.926437379999996</v>
      </c>
      <c r="CA32" t="s">
        <v>726</v>
      </c>
      <c r="CB32" t="s">
        <v>727</v>
      </c>
      <c r="CC32" t="s">
        <v>728</v>
      </c>
      <c r="CD32" t="s">
        <v>729</v>
      </c>
      <c r="CE32" t="s">
        <v>730</v>
      </c>
      <c r="CF32" t="s">
        <v>731</v>
      </c>
      <c r="CG32" t="s">
        <v>732</v>
      </c>
      <c r="CH32">
        <v>106.8318117</v>
      </c>
      <c r="CI32">
        <v>74.317234020000001</v>
      </c>
      <c r="CJ32">
        <v>-3.6626709160000002</v>
      </c>
      <c r="CK32">
        <v>27.82126835</v>
      </c>
      <c r="CL32">
        <v>108</v>
      </c>
      <c r="CM32">
        <v>3</v>
      </c>
      <c r="CN32">
        <v>101</v>
      </c>
      <c r="CO32">
        <v>105</v>
      </c>
      <c r="CP32">
        <v>108</v>
      </c>
      <c r="CQ32">
        <v>111</v>
      </c>
      <c r="CR32">
        <v>114</v>
      </c>
      <c r="CS32">
        <v>8.6207443999999995</v>
      </c>
      <c r="CT32">
        <v>175</v>
      </c>
      <c r="CU32">
        <v>108</v>
      </c>
      <c r="CV32">
        <v>6</v>
      </c>
      <c r="CW32">
        <v>172</v>
      </c>
      <c r="CX32">
        <v>4.878474282</v>
      </c>
      <c r="CY32">
        <v>2.7822081189999999</v>
      </c>
      <c r="CZ32">
        <v>4.8136560990000001</v>
      </c>
      <c r="DA32">
        <v>8.0694545000000006E-2</v>
      </c>
      <c r="DB32">
        <v>2.7777777999999999E-2</v>
      </c>
      <c r="DC32">
        <v>1.380865311</v>
      </c>
      <c r="DD32">
        <v>4.5871352720000003</v>
      </c>
      <c r="DE32">
        <v>1068.318117</v>
      </c>
      <c r="DF32">
        <v>5.7270593000000002E-2</v>
      </c>
      <c r="DG32" s="2">
        <v>6.5300000000000004E-4</v>
      </c>
      <c r="DH32">
        <v>1758</v>
      </c>
      <c r="DI32">
        <v>104</v>
      </c>
      <c r="DJ32">
        <v>-1756</v>
      </c>
      <c r="DK32">
        <v>112</v>
      </c>
      <c r="DL32">
        <v>0.54250768999999999</v>
      </c>
      <c r="DM32">
        <v>121.0608902</v>
      </c>
      <c r="DN32">
        <v>1.0183916630000001</v>
      </c>
      <c r="DO32">
        <v>113.6976318</v>
      </c>
      <c r="DP32">
        <v>88.926437379999996</v>
      </c>
      <c r="DQ32" t="s">
        <v>733</v>
      </c>
      <c r="DR32" t="s">
        <v>734</v>
      </c>
      <c r="DS32" t="s">
        <v>735</v>
      </c>
      <c r="DT32" t="s">
        <v>736</v>
      </c>
      <c r="DU32" t="s">
        <v>730</v>
      </c>
      <c r="DV32" t="s">
        <v>731</v>
      </c>
      <c r="DW32" t="s">
        <v>737</v>
      </c>
      <c r="DX32">
        <v>1.0561107E-2</v>
      </c>
      <c r="DY32">
        <v>107.20240250000001</v>
      </c>
      <c r="DZ32">
        <v>56.954084520000002</v>
      </c>
      <c r="EA32">
        <v>8.6499862689999993</v>
      </c>
      <c r="EB32">
        <v>2.6039053289999998</v>
      </c>
      <c r="EC32">
        <v>4.2075885509999997</v>
      </c>
      <c r="ED32">
        <v>26.754144400000001</v>
      </c>
      <c r="EE32">
        <v>8.6499862689999993</v>
      </c>
      <c r="EF32">
        <v>214.40480500000001</v>
      </c>
      <c r="EG32">
        <v>183.3471859</v>
      </c>
      <c r="EH32">
        <v>8.6499733320000001</v>
      </c>
      <c r="EI32">
        <v>4.5647839999999997E-3</v>
      </c>
      <c r="EJ32">
        <v>44.457945819999999</v>
      </c>
      <c r="EK32">
        <v>4.2075885509999997</v>
      </c>
      <c r="EL32">
        <v>0.332231742</v>
      </c>
      <c r="EM32">
        <v>0.97699245000000001</v>
      </c>
      <c r="EN32">
        <v>0.24292011799999999</v>
      </c>
      <c r="EO32">
        <v>0.99856037499999994</v>
      </c>
      <c r="EP32">
        <v>1.3928456000000001E-2</v>
      </c>
      <c r="EQ32">
        <v>0.60970362199999995</v>
      </c>
      <c r="ER32">
        <v>11527.08021</v>
      </c>
      <c r="ES32">
        <v>183.3471859</v>
      </c>
      <c r="ET32">
        <v>-10339.38084</v>
      </c>
      <c r="EU32">
        <v>1323456.804</v>
      </c>
      <c r="EV32">
        <v>0.93573640800000002</v>
      </c>
      <c r="EW32">
        <v>1.303681036</v>
      </c>
      <c r="EX32" s="2">
        <v>9.7700000000000003E-5</v>
      </c>
      <c r="EY32">
        <v>11473.444869999999</v>
      </c>
      <c r="EZ32" s="2">
        <v>9.2100000000000003E-5</v>
      </c>
      <c r="FA32">
        <v>10725.73631</v>
      </c>
      <c r="FB32" s="2">
        <v>1.2400000000000001E-4</v>
      </c>
      <c r="FC32">
        <v>15007.08373</v>
      </c>
      <c r="FD32">
        <v>6856.9025869999996</v>
      </c>
      <c r="FE32">
        <v>104112.8097</v>
      </c>
      <c r="FF32">
        <v>0.91472887300000005</v>
      </c>
      <c r="FG32" s="2">
        <v>6.2299999999999996E-5</v>
      </c>
      <c r="FH32">
        <v>1.5777084E-2</v>
      </c>
      <c r="FI32">
        <v>0.50632877799999998</v>
      </c>
      <c r="FJ32">
        <v>40250.50288</v>
      </c>
      <c r="FK32">
        <v>2.4138101540000001</v>
      </c>
      <c r="FL32">
        <v>0.67386809999999997</v>
      </c>
      <c r="FM32">
        <v>1972.456136</v>
      </c>
      <c r="FN32" s="2">
        <v>1.17E-4</v>
      </c>
      <c r="FO32">
        <v>11154.07928</v>
      </c>
      <c r="FP32" s="2">
        <v>8.53E-5</v>
      </c>
      <c r="FQ32">
        <v>7396.0867639999997</v>
      </c>
      <c r="FR32">
        <v>0.17001891199999999</v>
      </c>
      <c r="FS32" s="2">
        <v>22900000</v>
      </c>
      <c r="FT32">
        <v>1398.4682640000001</v>
      </c>
      <c r="FU32">
        <v>3.4754914999999997E-2</v>
      </c>
      <c r="FV32">
        <v>16893.063870000002</v>
      </c>
      <c r="FW32">
        <v>0.41982861599999999</v>
      </c>
      <c r="FX32">
        <v>0.29915838900000002</v>
      </c>
      <c r="FY32">
        <v>185.44474690000001</v>
      </c>
      <c r="FZ32">
        <v>1961.28242</v>
      </c>
      <c r="GA32">
        <v>7.3216821230000004</v>
      </c>
    </row>
    <row r="33" spans="1:183" x14ac:dyDescent="0.2">
      <c r="A33" t="s">
        <v>2471</v>
      </c>
      <c r="B33" t="s">
        <v>182</v>
      </c>
      <c r="C33" t="s">
        <v>738</v>
      </c>
      <c r="D33" s="1">
        <v>42412</v>
      </c>
      <c r="E33" t="s">
        <v>739</v>
      </c>
      <c r="F33" t="s">
        <v>185</v>
      </c>
      <c r="G33" t="s">
        <v>186</v>
      </c>
      <c r="H33">
        <v>1</v>
      </c>
      <c r="I33">
        <v>400</v>
      </c>
      <c r="J33">
        <v>10</v>
      </c>
      <c r="K33" t="s">
        <v>187</v>
      </c>
      <c r="L33" t="s">
        <v>740</v>
      </c>
      <c r="M33">
        <v>3</v>
      </c>
      <c r="N33">
        <v>0.6015625</v>
      </c>
      <c r="O33">
        <v>0.6015625</v>
      </c>
      <c r="P33" t="s">
        <v>741</v>
      </c>
      <c r="Q33">
        <v>0</v>
      </c>
      <c r="R33" t="s">
        <v>194</v>
      </c>
      <c r="T33">
        <v>102185.594863891</v>
      </c>
      <c r="U33">
        <v>102407.697143554</v>
      </c>
      <c r="V33">
        <v>94330</v>
      </c>
      <c r="W33">
        <v>25825.319097326901</v>
      </c>
      <c r="X33">
        <v>0.25272954697504502</v>
      </c>
      <c r="Y33">
        <v>40.614290145716403</v>
      </c>
      <c r="Z33">
        <v>1.38914057471779E-2</v>
      </c>
      <c r="AA33">
        <v>6.8563762098366898E-2</v>
      </c>
      <c r="AB33">
        <v>2.4432530723135799</v>
      </c>
      <c r="AC33">
        <v>0.40929038883928298</v>
      </c>
      <c r="AD33">
        <v>1.4432530723135699</v>
      </c>
      <c r="AE33" t="s">
        <v>742</v>
      </c>
      <c r="AF33" t="s">
        <v>743</v>
      </c>
      <c r="AG33" t="s">
        <v>744</v>
      </c>
      <c r="AH33" t="s">
        <v>193</v>
      </c>
      <c r="AI33" t="s">
        <v>193</v>
      </c>
      <c r="AJ33" t="s">
        <v>193</v>
      </c>
      <c r="AK33" t="s">
        <v>193</v>
      </c>
      <c r="AL33" t="s">
        <v>193</v>
      </c>
      <c r="AM33" t="s">
        <v>193</v>
      </c>
      <c r="AN33" t="s">
        <v>193</v>
      </c>
      <c r="AO33" t="s">
        <v>193</v>
      </c>
      <c r="AP33" t="s">
        <v>193</v>
      </c>
      <c r="AQ33">
        <v>8.4375822767710398E-2</v>
      </c>
      <c r="AR33" t="s">
        <v>193</v>
      </c>
      <c r="AS33" t="s">
        <v>193</v>
      </c>
      <c r="AT33">
        <v>111.58773437967599</v>
      </c>
      <c r="AU33" t="s">
        <v>193</v>
      </c>
      <c r="AV33" s="2">
        <v>108078290.27919</v>
      </c>
      <c r="AW33">
        <v>33.666595992791002</v>
      </c>
      <c r="AX33">
        <v>5413.1118673166002</v>
      </c>
      <c r="AY33">
        <v>-6.1083903768386998</v>
      </c>
      <c r="AZ33">
        <v>55.960584709899898</v>
      </c>
      <c r="BA33">
        <v>44</v>
      </c>
      <c r="BB33">
        <v>-1024</v>
      </c>
      <c r="BC33">
        <v>2</v>
      </c>
      <c r="BD33">
        <v>26</v>
      </c>
      <c r="BE33">
        <v>44</v>
      </c>
      <c r="BF33">
        <v>60</v>
      </c>
      <c r="BG33">
        <v>76</v>
      </c>
      <c r="BH33">
        <v>73.573853149856205</v>
      </c>
      <c r="BI33">
        <v>682</v>
      </c>
      <c r="BJ33">
        <v>34</v>
      </c>
      <c r="BK33">
        <v>1706</v>
      </c>
      <c r="BL33">
        <v>33.410948942437898</v>
      </c>
      <c r="BM33">
        <v>14.725977940620201</v>
      </c>
      <c r="BN33">
        <v>31.696724265875101</v>
      </c>
      <c r="BO33">
        <v>2.1853665623222001</v>
      </c>
      <c r="BP33">
        <v>0.39534883720930197</v>
      </c>
      <c r="BQ33" t="s">
        <v>194</v>
      </c>
      <c r="BR33" s="2">
        <v>617536208</v>
      </c>
      <c r="BS33">
        <v>80.910762899990004</v>
      </c>
      <c r="BT33">
        <v>3447.7185662841598</v>
      </c>
      <c r="BU33">
        <v>77076.2762451171</v>
      </c>
      <c r="BV33">
        <v>0.52870294189453104</v>
      </c>
      <c r="BW33">
        <v>75.965095520019503</v>
      </c>
      <c r="BX33">
        <v>1.0259226074218699</v>
      </c>
      <c r="BY33">
        <v>68.820106506347599</v>
      </c>
      <c r="BZ33">
        <v>17.212121963500898</v>
      </c>
      <c r="CA33" t="s">
        <v>745</v>
      </c>
      <c r="CB33" t="s">
        <v>746</v>
      </c>
      <c r="CC33" t="s">
        <v>747</v>
      </c>
      <c r="CD33" t="s">
        <v>748</v>
      </c>
      <c r="CE33" t="s">
        <v>749</v>
      </c>
      <c r="CF33" t="s">
        <v>750</v>
      </c>
      <c r="CG33" t="s">
        <v>751</v>
      </c>
      <c r="CH33">
        <v>103.917491784161</v>
      </c>
      <c r="CI33">
        <v>54.064929911545399</v>
      </c>
      <c r="CJ33">
        <v>-6.0626065188305702</v>
      </c>
      <c r="CK33">
        <v>55.053356185951998</v>
      </c>
      <c r="CL33">
        <v>105</v>
      </c>
      <c r="CM33">
        <v>1</v>
      </c>
      <c r="CN33">
        <v>101</v>
      </c>
      <c r="CO33">
        <v>103</v>
      </c>
      <c r="CP33">
        <v>105</v>
      </c>
      <c r="CQ33">
        <v>107</v>
      </c>
      <c r="CR33">
        <v>108</v>
      </c>
      <c r="CS33">
        <v>7.3528858220120199</v>
      </c>
      <c r="CT33">
        <v>169</v>
      </c>
      <c r="CU33">
        <v>105</v>
      </c>
      <c r="CV33">
        <v>4</v>
      </c>
      <c r="CW33">
        <v>168</v>
      </c>
      <c r="CX33">
        <v>3.3385555930622099</v>
      </c>
      <c r="CY33">
        <v>1.5233771054740799</v>
      </c>
      <c r="CZ33">
        <v>3.1562493374324099</v>
      </c>
      <c r="DA33">
        <v>7.0756960120670606E-2</v>
      </c>
      <c r="DB33">
        <v>1.9047619047619001E-2</v>
      </c>
      <c r="DC33">
        <v>1.1526959419693901</v>
      </c>
      <c r="DD33">
        <v>3.8291730344907799</v>
      </c>
      <c r="DE33">
        <v>1039.1749178415901</v>
      </c>
      <c r="DF33">
        <v>0.102600955126745</v>
      </c>
      <c r="DG33">
        <v>1.0429194924884699E-3</v>
      </c>
      <c r="DH33">
        <v>3684.5</v>
      </c>
      <c r="DI33">
        <v>103</v>
      </c>
      <c r="DJ33">
        <v>-3792.5</v>
      </c>
      <c r="DK33">
        <v>107</v>
      </c>
      <c r="DL33">
        <v>0.52870294189453104</v>
      </c>
      <c r="DM33">
        <v>75.965095520019503</v>
      </c>
      <c r="DN33">
        <v>1.0259226074218699</v>
      </c>
      <c r="DO33">
        <v>68.820106506347599</v>
      </c>
      <c r="DP33">
        <v>17.212121963500898</v>
      </c>
      <c r="DQ33" t="s">
        <v>752</v>
      </c>
      <c r="DR33" t="s">
        <v>753</v>
      </c>
      <c r="DS33" t="s">
        <v>754</v>
      </c>
      <c r="DT33" t="s">
        <v>755</v>
      </c>
      <c r="DU33" t="s">
        <v>749</v>
      </c>
      <c r="DV33" t="s">
        <v>750</v>
      </c>
      <c r="DW33" t="s">
        <v>756</v>
      </c>
      <c r="DX33">
        <v>3.3924770807794401E-2</v>
      </c>
      <c r="DY33">
        <v>104.420807418381</v>
      </c>
      <c r="DZ33">
        <v>35.8622861470553</v>
      </c>
      <c r="EA33">
        <v>7.0735408939520701</v>
      </c>
      <c r="EB33">
        <v>2.1293479846354102</v>
      </c>
      <c r="EC33">
        <v>2.7706968646355699</v>
      </c>
      <c r="ED33">
        <v>20.825391674088699</v>
      </c>
      <c r="EE33">
        <v>7.07354089395246</v>
      </c>
      <c r="EF33">
        <v>208.841614836763</v>
      </c>
      <c r="EG33">
        <v>114.946991798433</v>
      </c>
      <c r="EH33">
        <v>7.0735408939520497</v>
      </c>
      <c r="EI33">
        <v>1.4631572316759199E-2</v>
      </c>
      <c r="EJ33">
        <v>28.502152789789999</v>
      </c>
      <c r="EK33">
        <v>2.7706968646355699</v>
      </c>
      <c r="EL33">
        <v>0.43258798178712599</v>
      </c>
      <c r="EM33">
        <v>0.98446111303833705</v>
      </c>
      <c r="EN33">
        <v>0.35874868373836699</v>
      </c>
      <c r="EO33">
        <v>0.99904896992632397</v>
      </c>
      <c r="EP33">
        <v>8.27696430162898E-3</v>
      </c>
      <c r="EQ33">
        <v>0.60261662247472303</v>
      </c>
      <c r="ER33">
        <v>10925.316231658901</v>
      </c>
      <c r="ES33">
        <v>114.946991798433</v>
      </c>
      <c r="ET33">
        <v>-9428.9829769790194</v>
      </c>
      <c r="EU33">
        <v>1331060.87624606</v>
      </c>
      <c r="EV33">
        <v>0.89880669937271895</v>
      </c>
      <c r="EW33">
        <v>1.53928021165028</v>
      </c>
      <c r="EX33" s="2">
        <v>3.71215338412923E-4</v>
      </c>
      <c r="EY33">
        <v>10823.954152844501</v>
      </c>
      <c r="EZ33" s="2">
        <v>3.1758788830342797E-4</v>
      </c>
      <c r="FA33">
        <v>9707.1276939662694</v>
      </c>
      <c r="FB33" s="2">
        <v>8.0026983021077203E-4</v>
      </c>
      <c r="FC33">
        <v>16775.891828892702</v>
      </c>
      <c r="FD33">
        <v>7913.4862439320596</v>
      </c>
      <c r="FE33">
        <v>63091.693846686198</v>
      </c>
      <c r="FF33">
        <v>0.86577726312699199</v>
      </c>
      <c r="FG33" s="2">
        <v>7.7904552781186905E-5</v>
      </c>
      <c r="FH33">
        <v>1.0158527177825699E-2</v>
      </c>
      <c r="FI33">
        <v>0.446221555997449</v>
      </c>
      <c r="FJ33">
        <v>24292.514906685901</v>
      </c>
      <c r="FK33">
        <v>4.0968146197836104</v>
      </c>
      <c r="FL33">
        <v>0.693699265930113</v>
      </c>
      <c r="FM33">
        <v>29458.742251411401</v>
      </c>
      <c r="FN33" s="2">
        <v>2.7625066432177399E-4</v>
      </c>
      <c r="FO33">
        <v>10089.1515151515</v>
      </c>
      <c r="FP33" s="2">
        <v>1.7174211365549E-4</v>
      </c>
      <c r="FQ33">
        <v>6777.2309651544201</v>
      </c>
      <c r="FR33">
        <v>2.7061591849670501</v>
      </c>
      <c r="FS33" s="2">
        <v>325899052.91997898</v>
      </c>
      <c r="FT33">
        <v>750.70607212812502</v>
      </c>
      <c r="FU33">
        <v>4.3248419871420897E-2</v>
      </c>
      <c r="FV33">
        <v>7721.6882129277501</v>
      </c>
      <c r="FW33">
        <v>0.44484895799791202</v>
      </c>
      <c r="FX33">
        <v>0.18401356938407701</v>
      </c>
      <c r="FY33">
        <v>206.377089525911</v>
      </c>
      <c r="FZ33">
        <v>29429.209745415199</v>
      </c>
      <c r="GA33">
        <v>6.98552170425467</v>
      </c>
    </row>
    <row r="34" spans="1:183" x14ac:dyDescent="0.2">
      <c r="A34" t="s">
        <v>2472</v>
      </c>
      <c r="B34" t="s">
        <v>182</v>
      </c>
      <c r="C34" t="s">
        <v>757</v>
      </c>
      <c r="D34" s="1">
        <v>43860</v>
      </c>
      <c r="E34" t="s">
        <v>758</v>
      </c>
      <c r="F34" t="s">
        <v>185</v>
      </c>
      <c r="G34" t="s">
        <v>186</v>
      </c>
      <c r="H34">
        <v>1</v>
      </c>
      <c r="I34">
        <v>400</v>
      </c>
      <c r="J34">
        <v>10</v>
      </c>
      <c r="K34" t="s">
        <v>187</v>
      </c>
      <c r="L34" t="s">
        <v>759</v>
      </c>
      <c r="M34">
        <v>3</v>
      </c>
      <c r="N34">
        <v>0.70200002193450906</v>
      </c>
      <c r="O34">
        <v>0.70200002193450906</v>
      </c>
      <c r="P34" t="s">
        <v>760</v>
      </c>
      <c r="Q34">
        <v>0</v>
      </c>
      <c r="R34" t="s">
        <v>194</v>
      </c>
      <c r="T34">
        <v>24467.2873965</v>
      </c>
      <c r="U34">
        <v>24618.516623999902</v>
      </c>
      <c r="V34">
        <v>16652</v>
      </c>
      <c r="W34">
        <v>9152.4115869780599</v>
      </c>
      <c r="X34">
        <v>0.37406727761277198</v>
      </c>
      <c r="Y34">
        <v>35.7863570004506</v>
      </c>
      <c r="Z34">
        <v>1.5765493636042599E-2</v>
      </c>
      <c r="AA34">
        <v>8.8311526805266799E-2</v>
      </c>
      <c r="AB34">
        <v>2.2455748496449499</v>
      </c>
      <c r="AC34">
        <v>0.44532027073517899</v>
      </c>
      <c r="AD34">
        <v>1.2455748496449499</v>
      </c>
      <c r="AE34" t="s">
        <v>761</v>
      </c>
      <c r="AF34" t="s">
        <v>762</v>
      </c>
      <c r="AG34" t="s">
        <v>763</v>
      </c>
      <c r="AH34" t="s">
        <v>193</v>
      </c>
      <c r="AI34" t="s">
        <v>193</v>
      </c>
      <c r="AJ34" t="s">
        <v>193</v>
      </c>
      <c r="AK34" t="s">
        <v>193</v>
      </c>
      <c r="AL34" t="s">
        <v>193</v>
      </c>
      <c r="AM34" t="s">
        <v>193</v>
      </c>
      <c r="AN34" t="s">
        <v>193</v>
      </c>
      <c r="AO34" t="s">
        <v>193</v>
      </c>
      <c r="AP34" t="s">
        <v>193</v>
      </c>
      <c r="AQ34">
        <v>0.24120120765943401</v>
      </c>
      <c r="AR34" t="s">
        <v>193</v>
      </c>
      <c r="AS34" t="s">
        <v>193</v>
      </c>
      <c r="AT34">
        <v>75.879255010839401</v>
      </c>
      <c r="AU34" t="s">
        <v>193</v>
      </c>
      <c r="AV34" s="2">
        <v>22573980.427844699</v>
      </c>
      <c r="AW34">
        <v>9.6188445832332601</v>
      </c>
      <c r="AX34">
        <v>11452.372316032301</v>
      </c>
      <c r="AY34">
        <v>-0.98610919247326501</v>
      </c>
      <c r="AZ34">
        <v>30.023950204947401</v>
      </c>
      <c r="BA34">
        <v>26</v>
      </c>
      <c r="BB34">
        <v>-913</v>
      </c>
      <c r="BC34">
        <v>-64</v>
      </c>
      <c r="BD34">
        <v>-8</v>
      </c>
      <c r="BE34">
        <v>26</v>
      </c>
      <c r="BF34">
        <v>56</v>
      </c>
      <c r="BG34">
        <v>82</v>
      </c>
      <c r="BH34">
        <v>107.015757325883</v>
      </c>
      <c r="BI34">
        <v>1529</v>
      </c>
      <c r="BJ34">
        <v>64</v>
      </c>
      <c r="BK34">
        <v>2442</v>
      </c>
      <c r="BL34">
        <v>58.023986308519802</v>
      </c>
      <c r="BM34">
        <v>27.6399231186439</v>
      </c>
      <c r="BN34">
        <v>55.761530146528898</v>
      </c>
      <c r="BO34">
        <v>11.125635350468499</v>
      </c>
      <c r="BP34">
        <v>1.3333333333333299</v>
      </c>
      <c r="BQ34" t="s">
        <v>194</v>
      </c>
      <c r="BR34" s="2">
        <v>192245583</v>
      </c>
      <c r="BS34">
        <v>107.447170680054</v>
      </c>
      <c r="BT34">
        <v>236.801685276</v>
      </c>
      <c r="BU34">
        <v>22295.4385679999</v>
      </c>
      <c r="BV34">
        <v>0.50118167114257794</v>
      </c>
      <c r="BW34">
        <v>76.440826416015597</v>
      </c>
      <c r="BX34">
        <v>1.0008849487304601</v>
      </c>
      <c r="BY34">
        <v>51.465976715087798</v>
      </c>
      <c r="BZ34">
        <v>146.12715148925699</v>
      </c>
      <c r="CA34" t="s">
        <v>764</v>
      </c>
      <c r="CB34" t="s">
        <v>765</v>
      </c>
      <c r="CC34" t="s">
        <v>766</v>
      </c>
      <c r="CD34" t="s">
        <v>767</v>
      </c>
      <c r="CE34" t="s">
        <v>768</v>
      </c>
      <c r="CF34" t="s">
        <v>769</v>
      </c>
      <c r="CG34" t="s">
        <v>770</v>
      </c>
      <c r="CH34">
        <v>101.509728561134</v>
      </c>
      <c r="CI34">
        <v>114.65562238608599</v>
      </c>
      <c r="CJ34">
        <v>-0.98530721263205701</v>
      </c>
      <c r="CK34">
        <v>29.948371977266699</v>
      </c>
      <c r="CL34">
        <v>103</v>
      </c>
      <c r="CM34">
        <v>9</v>
      </c>
      <c r="CN34">
        <v>94</v>
      </c>
      <c r="CO34">
        <v>100</v>
      </c>
      <c r="CP34">
        <v>103</v>
      </c>
      <c r="CQ34">
        <v>106</v>
      </c>
      <c r="CR34">
        <v>109</v>
      </c>
      <c r="CS34">
        <v>10.707736566897999</v>
      </c>
      <c r="CT34">
        <v>253</v>
      </c>
      <c r="CU34">
        <v>104</v>
      </c>
      <c r="CV34">
        <v>6</v>
      </c>
      <c r="CW34">
        <v>244</v>
      </c>
      <c r="CX34">
        <v>5.8164819920212496</v>
      </c>
      <c r="CY34">
        <v>2.8925476691842502</v>
      </c>
      <c r="CZ34">
        <v>5.5723036271919204</v>
      </c>
      <c r="DA34">
        <v>0.105484831047</v>
      </c>
      <c r="DB34">
        <v>2.9126213592233E-2</v>
      </c>
      <c r="DC34">
        <v>1.4115117684468499</v>
      </c>
      <c r="DD34">
        <v>4.68894059986774</v>
      </c>
      <c r="DE34">
        <v>1015.09728561127</v>
      </c>
      <c r="DF34">
        <v>5.57266974327272E-2</v>
      </c>
      <c r="DG34">
        <v>1.8293569381490099E-3</v>
      </c>
      <c r="DH34">
        <v>229.5</v>
      </c>
      <c r="DI34">
        <v>100</v>
      </c>
      <c r="DJ34">
        <v>-231</v>
      </c>
      <c r="DK34">
        <v>109</v>
      </c>
      <c r="DL34">
        <v>0.50118167114257794</v>
      </c>
      <c r="DM34">
        <v>76.440826416015597</v>
      </c>
      <c r="DN34">
        <v>1.0008849487304601</v>
      </c>
      <c r="DO34">
        <v>51.465976715087798</v>
      </c>
      <c r="DP34">
        <v>146.12715148925699</v>
      </c>
      <c r="DQ34" t="s">
        <v>771</v>
      </c>
      <c r="DR34" t="s">
        <v>772</v>
      </c>
      <c r="DS34" t="s">
        <v>773</v>
      </c>
      <c r="DT34" t="s">
        <v>774</v>
      </c>
      <c r="DU34" t="s">
        <v>768</v>
      </c>
      <c r="DV34" t="s">
        <v>769</v>
      </c>
      <c r="DW34" t="s">
        <v>775</v>
      </c>
      <c r="DX34">
        <v>9.1565426657774906E-3</v>
      </c>
      <c r="DY34">
        <v>101.932720577575</v>
      </c>
      <c r="DZ34">
        <v>94.719043313178005</v>
      </c>
      <c r="EA34">
        <v>9.0431602070735604</v>
      </c>
      <c r="EB34">
        <v>2.7222624779239899</v>
      </c>
      <c r="EC34">
        <v>6.3625503783815303</v>
      </c>
      <c r="ED34">
        <v>78.095087421169396</v>
      </c>
      <c r="EE34">
        <v>9.0431602070738695</v>
      </c>
      <c r="EF34">
        <v>203.86544115514999</v>
      </c>
      <c r="EG34">
        <v>259.31582263246997</v>
      </c>
      <c r="EH34">
        <v>9.0429468546797693</v>
      </c>
      <c r="EI34">
        <v>3.8081191864568599E-3</v>
      </c>
      <c r="EJ34">
        <v>118.577134738612</v>
      </c>
      <c r="EK34">
        <v>6.3625503783815303</v>
      </c>
      <c r="EL34">
        <v>0.27819256829435102</v>
      </c>
      <c r="EM34">
        <v>0.97574809449639199</v>
      </c>
      <c r="EN34">
        <v>0.18841360176990701</v>
      </c>
      <c r="EO34">
        <v>0.99809069154081997</v>
      </c>
      <c r="EP34" s="2">
        <v>6.4649546927824994E-5</v>
      </c>
      <c r="EQ34">
        <v>0.37405863387708799</v>
      </c>
      <c r="ER34">
        <v>10425.710000289901</v>
      </c>
      <c r="ES34">
        <v>259.31582263246997</v>
      </c>
      <c r="ET34">
        <v>-5682.9477757969898</v>
      </c>
      <c r="EU34">
        <v>2187028.5043301298</v>
      </c>
      <c r="EV34">
        <v>0.95869048738844198</v>
      </c>
      <c r="EW34">
        <v>1.1825572123580199</v>
      </c>
      <c r="EX34" s="2">
        <v>1.0774822475088199E-4</v>
      </c>
      <c r="EY34">
        <v>10400.1055581153</v>
      </c>
      <c r="EZ34" s="2">
        <v>1.0385048473189999E-4</v>
      </c>
      <c r="FA34">
        <v>9956.5292129468598</v>
      </c>
      <c r="FB34" s="2">
        <v>1.2494657548356601E-4</v>
      </c>
      <c r="FC34">
        <v>12361.6100924602</v>
      </c>
      <c r="FD34">
        <v>854.89743550722301</v>
      </c>
      <c r="FE34">
        <v>14122.5504945763</v>
      </c>
      <c r="FF34">
        <v>0.94518099004046596</v>
      </c>
      <c r="FG34" s="2">
        <v>3.4384314132947198E-4</v>
      </c>
      <c r="FH34">
        <v>5.0470462546320899E-2</v>
      </c>
      <c r="FI34">
        <v>0.11071884092093</v>
      </c>
      <c r="FJ34">
        <v>61300.5426104527</v>
      </c>
      <c r="FK34">
        <v>12.798521905153599</v>
      </c>
      <c r="FL34">
        <v>0.73245740554734495</v>
      </c>
      <c r="FM34">
        <v>32.193002691272497</v>
      </c>
      <c r="FN34" s="2">
        <v>1.21004431309597E-4</v>
      </c>
      <c r="FO34">
        <v>10071.9888504421</v>
      </c>
      <c r="FP34" s="2">
        <v>9.4669461269376805E-5</v>
      </c>
      <c r="FQ34">
        <v>7248.8164844380099</v>
      </c>
      <c r="FR34">
        <v>3.0129270531778201E-3</v>
      </c>
      <c r="FS34">
        <v>347441.550941945</v>
      </c>
      <c r="FT34">
        <v>290.13930539536</v>
      </c>
      <c r="FU34">
        <v>3.7183045674145897E-2</v>
      </c>
      <c r="FV34">
        <v>3875.3813917723901</v>
      </c>
      <c r="FW34">
        <v>0.496652747888298</v>
      </c>
      <c r="FX34">
        <v>0.46859236127792397</v>
      </c>
      <c r="FY34">
        <v>207.04174557743701</v>
      </c>
      <c r="FZ34">
        <v>27.638828994963401</v>
      </c>
      <c r="GA34">
        <v>6.8456890069169498</v>
      </c>
    </row>
    <row r="35" spans="1:183" x14ac:dyDescent="0.2">
      <c r="A35" t="s">
        <v>2473</v>
      </c>
      <c r="B35" t="s">
        <v>182</v>
      </c>
      <c r="C35" t="s">
        <v>776</v>
      </c>
      <c r="D35" s="1">
        <v>42513</v>
      </c>
      <c r="E35" t="s">
        <v>777</v>
      </c>
      <c r="F35" t="s">
        <v>185</v>
      </c>
      <c r="G35" t="s">
        <v>186</v>
      </c>
      <c r="H35">
        <v>1</v>
      </c>
      <c r="I35">
        <v>400</v>
      </c>
      <c r="J35">
        <v>10</v>
      </c>
      <c r="K35" t="s">
        <v>187</v>
      </c>
      <c r="L35" t="s">
        <v>778</v>
      </c>
      <c r="M35">
        <v>3</v>
      </c>
      <c r="N35">
        <v>0.759765625</v>
      </c>
      <c r="O35">
        <v>0.759765625</v>
      </c>
      <c r="P35" t="s">
        <v>779</v>
      </c>
      <c r="Q35">
        <v>0</v>
      </c>
      <c r="R35" t="s">
        <v>194</v>
      </c>
      <c r="T35">
        <v>146023.41713571499</v>
      </c>
      <c r="U35">
        <v>146487.160377502</v>
      </c>
      <c r="V35">
        <v>84590</v>
      </c>
      <c r="W35">
        <v>27378.934833853698</v>
      </c>
      <c r="X35">
        <v>0.187496878041194</v>
      </c>
      <c r="Y35">
        <v>31.0243231119474</v>
      </c>
      <c r="Z35">
        <v>1.81853954238404E-2</v>
      </c>
      <c r="AA35">
        <v>0.11750267233353701</v>
      </c>
      <c r="AB35">
        <v>2.0416631271713102</v>
      </c>
      <c r="AC35">
        <v>0.489796767493901</v>
      </c>
      <c r="AD35">
        <v>1.0416631271713099</v>
      </c>
      <c r="AE35" t="s">
        <v>780</v>
      </c>
      <c r="AF35" t="s">
        <v>781</v>
      </c>
      <c r="AG35" t="s">
        <v>782</v>
      </c>
      <c r="AH35" t="s">
        <v>193</v>
      </c>
      <c r="AI35" t="s">
        <v>193</v>
      </c>
      <c r="AJ35" t="s">
        <v>193</v>
      </c>
      <c r="AK35" t="s">
        <v>193</v>
      </c>
      <c r="AL35" t="s">
        <v>193</v>
      </c>
      <c r="AM35" t="s">
        <v>193</v>
      </c>
      <c r="AN35" t="s">
        <v>193</v>
      </c>
      <c r="AO35" t="s">
        <v>193</v>
      </c>
      <c r="AP35" t="s">
        <v>193</v>
      </c>
      <c r="AQ35">
        <v>0.233502924153214</v>
      </c>
      <c r="AR35" t="s">
        <v>193</v>
      </c>
      <c r="AS35" t="s">
        <v>193</v>
      </c>
      <c r="AT35">
        <v>112.164405932229</v>
      </c>
      <c r="AU35" t="s">
        <v>193</v>
      </c>
      <c r="AV35" s="2">
        <v>159141774.941874</v>
      </c>
      <c r="AW35">
        <v>65.837356661543694</v>
      </c>
      <c r="AX35">
        <v>13954.112712530499</v>
      </c>
      <c r="AY35">
        <v>-2.7053822137973902</v>
      </c>
      <c r="AZ35">
        <v>14.7146871072165</v>
      </c>
      <c r="BA35">
        <v>80</v>
      </c>
      <c r="BB35">
        <v>-1024</v>
      </c>
      <c r="BC35">
        <v>-41</v>
      </c>
      <c r="BD35">
        <v>24</v>
      </c>
      <c r="BE35">
        <v>80</v>
      </c>
      <c r="BF35">
        <v>132</v>
      </c>
      <c r="BG35">
        <v>178</v>
      </c>
      <c r="BH35">
        <v>118.12752732759</v>
      </c>
      <c r="BI35">
        <v>491</v>
      </c>
      <c r="BJ35">
        <v>108</v>
      </c>
      <c r="BK35">
        <v>1515</v>
      </c>
      <c r="BL35">
        <v>76.824186743571403</v>
      </c>
      <c r="BM35">
        <v>45.508723912459601</v>
      </c>
      <c r="BN35">
        <v>75.759900697481896</v>
      </c>
      <c r="BO35">
        <v>1.7942325348032899</v>
      </c>
      <c r="BP35">
        <v>0.69230769230769196</v>
      </c>
      <c r="BQ35" t="s">
        <v>194</v>
      </c>
      <c r="BR35" s="2">
        <v>1547038616</v>
      </c>
      <c r="BS35">
        <v>135.23561012066901</v>
      </c>
      <c r="BT35">
        <v>9644.3274241103809</v>
      </c>
      <c r="BU35">
        <v>155584.52274322501</v>
      </c>
      <c r="BV35">
        <v>0.54549542236328097</v>
      </c>
      <c r="BW35">
        <v>138.38412475585901</v>
      </c>
      <c r="BX35">
        <v>1.0684782714843699</v>
      </c>
      <c r="BY35">
        <v>130.99028015136699</v>
      </c>
      <c r="BZ35" t="s">
        <v>194</v>
      </c>
      <c r="CA35" t="s">
        <v>783</v>
      </c>
      <c r="CB35" t="s">
        <v>784</v>
      </c>
      <c r="CC35" t="s">
        <v>785</v>
      </c>
      <c r="CD35" t="s">
        <v>786</v>
      </c>
      <c r="CE35" t="s">
        <v>787</v>
      </c>
      <c r="CF35" t="s">
        <v>788</v>
      </c>
      <c r="CG35" t="s">
        <v>789</v>
      </c>
      <c r="CH35">
        <v>107.134176616622</v>
      </c>
      <c r="CI35">
        <v>139.48683172244401</v>
      </c>
      <c r="CJ35">
        <v>-2.6926784649468001</v>
      </c>
      <c r="CK35">
        <v>14.5576474578399</v>
      </c>
      <c r="CL35">
        <v>109</v>
      </c>
      <c r="CM35">
        <v>1</v>
      </c>
      <c r="CN35">
        <v>96</v>
      </c>
      <c r="CO35">
        <v>103</v>
      </c>
      <c r="CP35">
        <v>109</v>
      </c>
      <c r="CQ35">
        <v>114</v>
      </c>
      <c r="CR35">
        <v>118</v>
      </c>
      <c r="CS35">
        <v>11.8104543402209</v>
      </c>
      <c r="CT35">
        <v>150</v>
      </c>
      <c r="CU35">
        <v>109</v>
      </c>
      <c r="CV35">
        <v>11</v>
      </c>
      <c r="CW35">
        <v>149</v>
      </c>
      <c r="CX35">
        <v>7.6832683692636898</v>
      </c>
      <c r="CY35">
        <v>4.6801139149684001</v>
      </c>
      <c r="CZ35">
        <v>7.5794774796075099</v>
      </c>
      <c r="DA35">
        <v>0.110239838613633</v>
      </c>
      <c r="DB35">
        <v>5.0691244239631297E-2</v>
      </c>
      <c r="DC35">
        <v>1.5854570817635201</v>
      </c>
      <c r="DD35">
        <v>5.2667744231483598</v>
      </c>
      <c r="DE35">
        <v>1071.3417661662199</v>
      </c>
      <c r="DF35">
        <v>3.3881298974696002E-2</v>
      </c>
      <c r="DG35" s="2">
        <v>6.3287874997726499E-4</v>
      </c>
      <c r="DH35">
        <v>347.5</v>
      </c>
      <c r="DI35">
        <v>101</v>
      </c>
      <c r="DJ35">
        <v>-396</v>
      </c>
      <c r="DK35">
        <v>116</v>
      </c>
      <c r="DL35">
        <v>0.54549542236328097</v>
      </c>
      <c r="DM35">
        <v>138.38412475585901</v>
      </c>
      <c r="DN35">
        <v>1.0684782714843699</v>
      </c>
      <c r="DO35">
        <v>130.99028015136699</v>
      </c>
      <c r="DP35" t="s">
        <v>194</v>
      </c>
      <c r="DQ35" t="s">
        <v>790</v>
      </c>
      <c r="DR35" t="s">
        <v>791</v>
      </c>
      <c r="DS35" t="s">
        <v>792</v>
      </c>
      <c r="DT35" t="s">
        <v>793</v>
      </c>
      <c r="DU35" t="s">
        <v>787</v>
      </c>
      <c r="DV35" t="s">
        <v>788</v>
      </c>
      <c r="DW35" t="s">
        <v>794</v>
      </c>
      <c r="DX35">
        <v>2.9264711517711099E-3</v>
      </c>
      <c r="DY35">
        <v>107.80516428374099</v>
      </c>
      <c r="DZ35">
        <v>112.038000735335</v>
      </c>
      <c r="EA35">
        <v>10.308495399762901</v>
      </c>
      <c r="EB35">
        <v>3.1031663254928299</v>
      </c>
      <c r="EC35">
        <v>9.2414984097018902</v>
      </c>
      <c r="ED35">
        <v>75.928239138014504</v>
      </c>
      <c r="EE35">
        <v>10.3084953997613</v>
      </c>
      <c r="EF35">
        <v>215.61032856748199</v>
      </c>
      <c r="EG35">
        <v>286.81847094680597</v>
      </c>
      <c r="EH35">
        <v>10.3084953997631</v>
      </c>
      <c r="EI35">
        <v>1.3069144513476901E-3</v>
      </c>
      <c r="EJ35">
        <v>161.333531994537</v>
      </c>
      <c r="EK35">
        <v>9.2414984097018902</v>
      </c>
      <c r="EL35">
        <v>0.19520231001587299</v>
      </c>
      <c r="EM35">
        <v>0.94446992331697999</v>
      </c>
      <c r="EN35">
        <v>0.111079282944029</v>
      </c>
      <c r="EO35">
        <v>0.99318488479004097</v>
      </c>
      <c r="EP35">
        <v>4.0060123642661802E-2</v>
      </c>
      <c r="EQ35">
        <v>0.28000530652250299</v>
      </c>
      <c r="ER35">
        <v>11653.324680982299</v>
      </c>
      <c r="ES35">
        <v>286.81847094680597</v>
      </c>
      <c r="ET35">
        <v>-14745.0659949811</v>
      </c>
      <c r="EU35">
        <v>1940358.2520806801</v>
      </c>
      <c r="EV35">
        <v>0.97418441161287395</v>
      </c>
      <c r="EW35">
        <v>1.11025853705973</v>
      </c>
      <c r="EX35" s="2">
        <v>5.1216275807688895E-4</v>
      </c>
      <c r="EY35">
        <v>11607.7714358721</v>
      </c>
      <c r="EZ35" s="2">
        <v>4.5943805142425098E-4</v>
      </c>
      <c r="FA35">
        <v>11301.0049871146</v>
      </c>
      <c r="FB35" s="2">
        <v>7.86785392260712E-4</v>
      </c>
      <c r="FC35">
        <v>12917.7449463374</v>
      </c>
      <c r="FD35">
        <v>2728.4030452828902</v>
      </c>
      <c r="FE35">
        <v>76283.004013402402</v>
      </c>
      <c r="FF35">
        <v>0.96555239299062401</v>
      </c>
      <c r="FG35" s="2">
        <v>7.4046344201747402E-5</v>
      </c>
      <c r="FH35">
        <v>9.24491255917054E-2</v>
      </c>
      <c r="FI35">
        <v>0.53852528306121505</v>
      </c>
      <c r="FJ35">
        <v>79429.634893653594</v>
      </c>
      <c r="FK35">
        <v>1.53335840218529</v>
      </c>
      <c r="FL35">
        <v>0.77204199387478101</v>
      </c>
      <c r="FM35">
        <v>5.2599920101965099</v>
      </c>
      <c r="FN35" s="2">
        <v>2.2122322204802999E-4</v>
      </c>
      <c r="FO35">
        <v>11458.222439933799</v>
      </c>
      <c r="FP35" s="2">
        <v>1.3535702799987299E-4</v>
      </c>
      <c r="FQ35">
        <v>8766.1839457427104</v>
      </c>
      <c r="FR35">
        <v>1.91151010544451E-2</v>
      </c>
      <c r="FS35">
        <v>62140.109916867899</v>
      </c>
      <c r="FT35">
        <v>1449.69583579051</v>
      </c>
      <c r="FU35">
        <v>2.7578059158607299E-2</v>
      </c>
      <c r="FV35">
        <v>29074.065307131801</v>
      </c>
      <c r="FW35">
        <v>0.55308587720683799</v>
      </c>
      <c r="FX35">
        <v>0.62143279347440505</v>
      </c>
      <c r="FY35">
        <v>187.56482744034301</v>
      </c>
      <c r="FZ35">
        <v>2.6705173538189402</v>
      </c>
      <c r="GA35">
        <v>6.8778320426287003</v>
      </c>
    </row>
    <row r="36" spans="1:183" x14ac:dyDescent="0.2">
      <c r="A36" t="s">
        <v>2474</v>
      </c>
      <c r="B36" t="s">
        <v>182</v>
      </c>
      <c r="C36" t="s">
        <v>795</v>
      </c>
      <c r="D36" s="1">
        <v>42977</v>
      </c>
      <c r="E36" t="s">
        <v>362</v>
      </c>
      <c r="F36" t="s">
        <v>185</v>
      </c>
      <c r="G36" t="s">
        <v>186</v>
      </c>
      <c r="H36">
        <v>1</v>
      </c>
      <c r="I36">
        <v>400</v>
      </c>
      <c r="J36">
        <v>10</v>
      </c>
      <c r="K36" t="s">
        <v>187</v>
      </c>
      <c r="L36" t="s">
        <v>796</v>
      </c>
      <c r="M36">
        <v>5</v>
      </c>
      <c r="N36">
        <v>0.712890625</v>
      </c>
      <c r="O36">
        <v>0.712890625</v>
      </c>
      <c r="P36" t="s">
        <v>797</v>
      </c>
      <c r="Q36">
        <v>0</v>
      </c>
      <c r="R36" t="s">
        <v>194</v>
      </c>
      <c r="T36">
        <v>24289.1953786214</v>
      </c>
      <c r="U36">
        <v>24414.5545959472</v>
      </c>
      <c r="V36">
        <v>9608</v>
      </c>
      <c r="W36">
        <v>6225.1185684796201</v>
      </c>
      <c r="X36">
        <v>0.25629167502019301</v>
      </c>
      <c r="Y36">
        <v>20.221264659577699</v>
      </c>
      <c r="Z36">
        <v>2.79008060596511E-2</v>
      </c>
      <c r="AA36">
        <v>0.27658953664559499</v>
      </c>
      <c r="AB36">
        <v>1.5348104626462999</v>
      </c>
      <c r="AC36">
        <v>0.65154624908916003</v>
      </c>
      <c r="AD36">
        <v>0.53481046264630605</v>
      </c>
      <c r="AE36" t="s">
        <v>798</v>
      </c>
      <c r="AF36" t="s">
        <v>799</v>
      </c>
      <c r="AG36" t="s">
        <v>800</v>
      </c>
      <c r="AH36" t="s">
        <v>193</v>
      </c>
      <c r="AI36" t="s">
        <v>193</v>
      </c>
      <c r="AJ36" t="s">
        <v>193</v>
      </c>
      <c r="AK36" t="s">
        <v>193</v>
      </c>
      <c r="AL36" t="s">
        <v>193</v>
      </c>
      <c r="AM36" t="s">
        <v>193</v>
      </c>
      <c r="AN36" t="s">
        <v>193</v>
      </c>
      <c r="AO36" t="s">
        <v>193</v>
      </c>
      <c r="AP36" t="s">
        <v>193</v>
      </c>
      <c r="AQ36">
        <v>7.9669955092457598E-2</v>
      </c>
      <c r="AR36" t="s">
        <v>193</v>
      </c>
      <c r="AS36" t="s">
        <v>193</v>
      </c>
      <c r="AT36">
        <v>59.982918254853701</v>
      </c>
      <c r="AU36" t="s">
        <v>193</v>
      </c>
      <c r="AV36" s="2">
        <v>12497792.1173642</v>
      </c>
      <c r="AW36">
        <v>32.541215653621897</v>
      </c>
      <c r="AX36">
        <v>1464.2997167569799</v>
      </c>
      <c r="AY36">
        <v>-3.06636515770801</v>
      </c>
      <c r="AZ36">
        <v>25.747895949958998</v>
      </c>
      <c r="BA36">
        <v>35</v>
      </c>
      <c r="BB36">
        <v>-482</v>
      </c>
      <c r="BC36">
        <v>7</v>
      </c>
      <c r="BD36">
        <v>23</v>
      </c>
      <c r="BE36">
        <v>35</v>
      </c>
      <c r="BF36">
        <v>50</v>
      </c>
      <c r="BG36">
        <v>66</v>
      </c>
      <c r="BH36">
        <v>38.266169350445601</v>
      </c>
      <c r="BI36">
        <v>360</v>
      </c>
      <c r="BJ36">
        <v>27</v>
      </c>
      <c r="BK36">
        <v>842</v>
      </c>
      <c r="BL36">
        <v>21.7151294958894</v>
      </c>
      <c r="BM36">
        <v>11.423217755343099</v>
      </c>
      <c r="BN36">
        <v>21.533305578684399</v>
      </c>
      <c r="BO36">
        <v>1.1759293124682699</v>
      </c>
      <c r="BP36">
        <v>0.36986301369863001</v>
      </c>
      <c r="BQ36" t="s">
        <v>194</v>
      </c>
      <c r="BR36" s="2">
        <v>24243198</v>
      </c>
      <c r="BS36">
        <v>50.231767169516502</v>
      </c>
      <c r="BT36">
        <v>794.47928619384697</v>
      </c>
      <c r="BU36">
        <v>9212.2084299723301</v>
      </c>
      <c r="BV36">
        <v>0.51583624267578099</v>
      </c>
      <c r="BW36">
        <v>63.876846313476499</v>
      </c>
      <c r="BX36">
        <v>1.06470629882812</v>
      </c>
      <c r="BY36">
        <v>57.995227813720703</v>
      </c>
      <c r="BZ36">
        <v>51.948276519775298</v>
      </c>
      <c r="CA36" t="s">
        <v>801</v>
      </c>
      <c r="CB36" t="s">
        <v>802</v>
      </c>
      <c r="CC36" t="s">
        <v>803</v>
      </c>
      <c r="CD36" t="s">
        <v>804</v>
      </c>
      <c r="CE36" t="s">
        <v>805</v>
      </c>
      <c r="CF36" t="s">
        <v>806</v>
      </c>
      <c r="CG36" t="s">
        <v>807</v>
      </c>
      <c r="CH36">
        <v>103.803705245628</v>
      </c>
      <c r="CI36">
        <v>14.724166121279699</v>
      </c>
      <c r="CJ36">
        <v>-3.05781522936695</v>
      </c>
      <c r="CK36">
        <v>25.724107164958401</v>
      </c>
      <c r="CL36">
        <v>104</v>
      </c>
      <c r="CM36">
        <v>52</v>
      </c>
      <c r="CN36">
        <v>101</v>
      </c>
      <c r="CO36">
        <v>103</v>
      </c>
      <c r="CP36">
        <v>104</v>
      </c>
      <c r="CQ36">
        <v>106</v>
      </c>
      <c r="CR36">
        <v>107</v>
      </c>
      <c r="CS36">
        <v>3.8372081154505699</v>
      </c>
      <c r="CT36">
        <v>137</v>
      </c>
      <c r="CU36">
        <v>104</v>
      </c>
      <c r="CV36">
        <v>3</v>
      </c>
      <c r="CW36">
        <v>85</v>
      </c>
      <c r="CX36">
        <v>2.1818449758424201</v>
      </c>
      <c r="CY36">
        <v>1.24044465609831</v>
      </c>
      <c r="CZ36">
        <v>2.13093255620316</v>
      </c>
      <c r="DA36">
        <v>3.6966003346129803E-2</v>
      </c>
      <c r="DB36">
        <v>1.43540669856459E-2</v>
      </c>
      <c r="DC36">
        <v>1.0288520235107499</v>
      </c>
      <c r="DD36">
        <v>3.4177724423821001</v>
      </c>
      <c r="DE36">
        <v>1038.03705245625</v>
      </c>
      <c r="DF36">
        <v>0.13155476095066401</v>
      </c>
      <c r="DG36">
        <v>3.70029873884938E-3</v>
      </c>
      <c r="DH36">
        <v>703.5</v>
      </c>
      <c r="DI36">
        <v>102</v>
      </c>
      <c r="DJ36">
        <v>-517.5</v>
      </c>
      <c r="DK36">
        <v>105</v>
      </c>
      <c r="DL36">
        <v>0.51583624267578099</v>
      </c>
      <c r="DM36">
        <v>63.876846313476499</v>
      </c>
      <c r="DN36">
        <v>1.06470629882812</v>
      </c>
      <c r="DO36">
        <v>57.995227813720703</v>
      </c>
      <c r="DP36">
        <v>51.948276519775298</v>
      </c>
      <c r="DQ36" t="s">
        <v>808</v>
      </c>
      <c r="DR36" t="s">
        <v>809</v>
      </c>
      <c r="DS36" t="s">
        <v>810</v>
      </c>
      <c r="DT36" t="s">
        <v>811</v>
      </c>
      <c r="DU36" t="s">
        <v>805</v>
      </c>
      <c r="DV36" t="s">
        <v>806</v>
      </c>
      <c r="DW36" t="s">
        <v>812</v>
      </c>
      <c r="DX36">
        <v>6.7882185198929607E-2</v>
      </c>
      <c r="DY36">
        <v>103.95625402839801</v>
      </c>
      <c r="DZ36">
        <v>10.207558154653499</v>
      </c>
      <c r="EA36">
        <v>6.2415267211579</v>
      </c>
      <c r="EB36">
        <v>1.8788867618067799</v>
      </c>
      <c r="EC36">
        <v>2.0561046114181898</v>
      </c>
      <c r="ED36">
        <v>9.6875005274263604</v>
      </c>
      <c r="EE36">
        <v>6.2415267211579701</v>
      </c>
      <c r="EF36">
        <v>207.91250805679701</v>
      </c>
      <c r="EG36">
        <v>4.6846573540521099</v>
      </c>
      <c r="EH36">
        <v>3.6896052195054201E-2</v>
      </c>
      <c r="EI36">
        <v>2.6771464966293599E-2</v>
      </c>
      <c r="EJ36">
        <v>13.9150667005215</v>
      </c>
      <c r="EK36">
        <v>2.0561046114181898</v>
      </c>
      <c r="EL36">
        <v>0.51178504465831698</v>
      </c>
      <c r="EM36">
        <v>0.97771103099372403</v>
      </c>
      <c r="EN36">
        <v>0.45738747120464401</v>
      </c>
      <c r="EO36">
        <v>0.99819449051231302</v>
      </c>
      <c r="EP36">
        <v>0</v>
      </c>
      <c r="EQ36">
        <v>0.31839395427897899</v>
      </c>
      <c r="ER36">
        <v>10810.152776421301</v>
      </c>
      <c r="ES36">
        <v>4.6846573540521099</v>
      </c>
      <c r="ET36">
        <v>-394.91735684198699</v>
      </c>
      <c r="EU36">
        <v>19781.955696854999</v>
      </c>
      <c r="EV36">
        <v>0.85828269068121599</v>
      </c>
      <c r="EW36">
        <v>1.9890126743557299</v>
      </c>
      <c r="EX36" s="2">
        <v>9.35894322731841E-5</v>
      </c>
      <c r="EY36">
        <v>10768.689203850099</v>
      </c>
      <c r="EZ36" s="2">
        <v>8.0534466800296698E-5</v>
      </c>
      <c r="FA36">
        <v>9228.3225266604895</v>
      </c>
      <c r="FB36" s="2">
        <v>1.8461193877918099E-4</v>
      </c>
      <c r="FC36">
        <v>21527.372187344299</v>
      </c>
      <c r="FD36">
        <v>936.69910928301704</v>
      </c>
      <c r="FE36">
        <v>5560.5820400843304</v>
      </c>
      <c r="FF36">
        <v>0.81052648433997299</v>
      </c>
      <c r="FG36" s="2">
        <v>7.9563879655412495E-4</v>
      </c>
      <c r="FH36">
        <v>1.3010387149440399E-2</v>
      </c>
      <c r="FI36">
        <v>0.112077562088818</v>
      </c>
      <c r="FJ36">
        <v>3360.9124431210498</v>
      </c>
      <c r="FK36">
        <v>3.72772702762171</v>
      </c>
      <c r="FL36">
        <v>0.68316632288617896</v>
      </c>
      <c r="FM36">
        <v>6328.2554144884198</v>
      </c>
      <c r="FN36" s="2">
        <v>1.0121794784120401E-4</v>
      </c>
      <c r="FO36">
        <v>10177.7274085138</v>
      </c>
      <c r="FP36" s="2">
        <v>7.1168375214761395E-5</v>
      </c>
      <c r="FQ36">
        <v>6807.5438029049101</v>
      </c>
      <c r="FR36">
        <v>0.58509495053622795</v>
      </c>
      <c r="FS36" s="2">
        <v>68466540.495892406</v>
      </c>
      <c r="FT36">
        <v>70.305451829723594</v>
      </c>
      <c r="FU36">
        <v>5.2505938633102003E-2</v>
      </c>
      <c r="FV36">
        <v>577.87976101568302</v>
      </c>
      <c r="FW36">
        <v>0.43157562435823998</v>
      </c>
      <c r="FX36">
        <v>0.13936303080765999</v>
      </c>
      <c r="FY36">
        <v>64.338336156473204</v>
      </c>
      <c r="FZ36">
        <v>6276.7675552910496</v>
      </c>
      <c r="GA36">
        <v>6.4738259938392</v>
      </c>
    </row>
    <row r="37" spans="1:183" x14ac:dyDescent="0.2">
      <c r="A37" t="s">
        <v>2475</v>
      </c>
      <c r="B37" t="s">
        <v>182</v>
      </c>
      <c r="C37" t="s">
        <v>813</v>
      </c>
      <c r="D37" s="1">
        <v>43566</v>
      </c>
      <c r="E37" t="s">
        <v>400</v>
      </c>
      <c r="F37" t="s">
        <v>185</v>
      </c>
      <c r="G37" t="s">
        <v>186</v>
      </c>
      <c r="H37">
        <v>1</v>
      </c>
      <c r="I37">
        <v>400</v>
      </c>
      <c r="J37">
        <v>10</v>
      </c>
      <c r="K37" t="s">
        <v>187</v>
      </c>
      <c r="L37" t="s">
        <v>814</v>
      </c>
      <c r="M37">
        <v>2</v>
      </c>
      <c r="N37">
        <v>0.68359375</v>
      </c>
      <c r="O37">
        <v>0.68359375</v>
      </c>
      <c r="P37" t="s">
        <v>815</v>
      </c>
      <c r="Q37">
        <v>0</v>
      </c>
      <c r="R37" t="s">
        <v>194</v>
      </c>
      <c r="T37">
        <v>6279.9723943074496</v>
      </c>
      <c r="U37">
        <v>6337.5282287597602</v>
      </c>
      <c r="V37">
        <v>6781</v>
      </c>
      <c r="W37">
        <v>2833.1938441396801</v>
      </c>
      <c r="X37">
        <v>0.45114749974185597</v>
      </c>
      <c r="Y37">
        <v>24.013568338475</v>
      </c>
      <c r="Z37">
        <v>2.34946166931717E-2</v>
      </c>
      <c r="AA37">
        <v>0.196127717558786</v>
      </c>
      <c r="AB37">
        <v>1.72115642310623</v>
      </c>
      <c r="AC37">
        <v>0.58100471669812603</v>
      </c>
      <c r="AD37">
        <v>0.72115642310623596</v>
      </c>
      <c r="AE37" t="s">
        <v>816</v>
      </c>
      <c r="AF37" t="s">
        <v>817</v>
      </c>
      <c r="AG37" t="s">
        <v>818</v>
      </c>
      <c r="AH37" t="s">
        <v>193</v>
      </c>
      <c r="AI37" t="s">
        <v>193</v>
      </c>
      <c r="AJ37" t="s">
        <v>193</v>
      </c>
      <c r="AK37" t="s">
        <v>193</v>
      </c>
      <c r="AL37" t="s">
        <v>193</v>
      </c>
      <c r="AM37" t="s">
        <v>193</v>
      </c>
      <c r="AN37" t="s">
        <v>193</v>
      </c>
      <c r="AO37" t="s">
        <v>193</v>
      </c>
      <c r="AP37" t="s">
        <v>193</v>
      </c>
      <c r="AQ37">
        <v>7.0735612899633496E-2</v>
      </c>
      <c r="AR37" t="s">
        <v>193</v>
      </c>
      <c r="AS37" t="s">
        <v>193</v>
      </c>
      <c r="AT37">
        <v>44.280830720519603</v>
      </c>
      <c r="AU37" t="s">
        <v>193</v>
      </c>
      <c r="AV37">
        <v>4216158.2368719801</v>
      </c>
      <c r="AW37">
        <v>22.365727768765598</v>
      </c>
      <c r="AX37">
        <v>5279.2456857592397</v>
      </c>
      <c r="AY37">
        <v>-3.4493272502441901</v>
      </c>
      <c r="AZ37">
        <v>18.7885729312348</v>
      </c>
      <c r="BA37">
        <v>37</v>
      </c>
      <c r="BB37">
        <v>-649</v>
      </c>
      <c r="BC37">
        <v>-41</v>
      </c>
      <c r="BD37">
        <v>7</v>
      </c>
      <c r="BE37">
        <v>37</v>
      </c>
      <c r="BF37">
        <v>60</v>
      </c>
      <c r="BG37">
        <v>79</v>
      </c>
      <c r="BH37">
        <v>72.658417858904897</v>
      </c>
      <c r="BI37">
        <v>198</v>
      </c>
      <c r="BJ37">
        <v>53</v>
      </c>
      <c r="BK37">
        <v>847</v>
      </c>
      <c r="BL37">
        <v>44.140386922600797</v>
      </c>
      <c r="BM37">
        <v>23.6034915657441</v>
      </c>
      <c r="BN37">
        <v>42.024627636041799</v>
      </c>
      <c r="BO37">
        <v>3.2486498364866301</v>
      </c>
      <c r="BP37">
        <v>0.79104477611940205</v>
      </c>
      <c r="BQ37" t="s">
        <v>194</v>
      </c>
      <c r="BR37" s="2">
        <v>39190596</v>
      </c>
      <c r="BS37">
        <v>76.022835150931996</v>
      </c>
      <c r="BT37">
        <v>141.743431091308</v>
      </c>
      <c r="BU37">
        <v>2647.10108439127</v>
      </c>
      <c r="BV37">
        <v>0.51309582519531205</v>
      </c>
      <c r="BW37">
        <v>55.959926605224602</v>
      </c>
      <c r="BX37">
        <v>1.03460314941406</v>
      </c>
      <c r="BY37">
        <v>43.738616943359297</v>
      </c>
      <c r="BZ37">
        <v>23.8228225708007</v>
      </c>
      <c r="CA37" t="s">
        <v>819</v>
      </c>
      <c r="CB37" t="s">
        <v>820</v>
      </c>
      <c r="CC37" t="s">
        <v>821</v>
      </c>
      <c r="CD37" t="s">
        <v>822</v>
      </c>
      <c r="CE37" t="s">
        <v>823</v>
      </c>
      <c r="CF37" t="s">
        <v>824</v>
      </c>
      <c r="CG37" t="s">
        <v>825</v>
      </c>
      <c r="CH37">
        <v>102.792803421324</v>
      </c>
      <c r="CI37">
        <v>52.843811946167399</v>
      </c>
      <c r="CJ37">
        <v>-3.4390540597771202</v>
      </c>
      <c r="CK37">
        <v>18.686398427576599</v>
      </c>
      <c r="CL37">
        <v>104</v>
      </c>
      <c r="CM37">
        <v>36</v>
      </c>
      <c r="CN37">
        <v>96</v>
      </c>
      <c r="CO37">
        <v>101</v>
      </c>
      <c r="CP37">
        <v>104</v>
      </c>
      <c r="CQ37">
        <v>107</v>
      </c>
      <c r="CR37">
        <v>108</v>
      </c>
      <c r="CS37">
        <v>7.2693749350385897</v>
      </c>
      <c r="CT37">
        <v>120</v>
      </c>
      <c r="CU37">
        <v>106</v>
      </c>
      <c r="CV37">
        <v>6</v>
      </c>
      <c r="CW37">
        <v>84</v>
      </c>
      <c r="CX37">
        <v>4.4169857827506398</v>
      </c>
      <c r="CY37">
        <v>2.47417090443501</v>
      </c>
      <c r="CZ37">
        <v>4.1967261465860402</v>
      </c>
      <c r="DA37">
        <v>7.0718714667631702E-2</v>
      </c>
      <c r="DB37">
        <v>2.8846153846153799E-2</v>
      </c>
      <c r="DC37">
        <v>1.30048717227998</v>
      </c>
      <c r="DD37">
        <v>4.3201248746374903</v>
      </c>
      <c r="DE37">
        <v>1027.9280342132499</v>
      </c>
      <c r="DF37">
        <v>6.9153531751288203E-2</v>
      </c>
      <c r="DG37">
        <v>3.1934513934431599E-3</v>
      </c>
      <c r="DH37">
        <v>117</v>
      </c>
      <c r="DI37">
        <v>101</v>
      </c>
      <c r="DJ37">
        <v>-156.5</v>
      </c>
      <c r="DK37">
        <v>108</v>
      </c>
      <c r="DL37">
        <v>0.51309582519531205</v>
      </c>
      <c r="DM37">
        <v>55.959926605224602</v>
      </c>
      <c r="DN37">
        <v>1.03460314941406</v>
      </c>
      <c r="DO37">
        <v>43.738616943359297</v>
      </c>
      <c r="DP37">
        <v>23.8228225708007</v>
      </c>
      <c r="DQ37" t="s">
        <v>826</v>
      </c>
      <c r="DR37" t="s">
        <v>827</v>
      </c>
      <c r="DS37" t="s">
        <v>828</v>
      </c>
      <c r="DT37" t="s">
        <v>829</v>
      </c>
      <c r="DU37" t="s">
        <v>823</v>
      </c>
      <c r="DV37" t="s">
        <v>824</v>
      </c>
      <c r="DW37" t="s">
        <v>830</v>
      </c>
      <c r="DX37">
        <v>1.8217920768707301E-2</v>
      </c>
      <c r="DY37">
        <v>103.36642042851</v>
      </c>
      <c r="DZ37">
        <v>40.2638712321017</v>
      </c>
      <c r="EA37">
        <v>8.0810970348927906</v>
      </c>
      <c r="EB37">
        <v>2.4326526053739901</v>
      </c>
      <c r="EC37">
        <v>3.8726828387741699</v>
      </c>
      <c r="ED37">
        <v>26.8398798748728</v>
      </c>
      <c r="EE37">
        <v>8.0810970348926894</v>
      </c>
      <c r="EF37">
        <v>206.73284085701999</v>
      </c>
      <c r="EG37">
        <v>56.624782545881402</v>
      </c>
      <c r="EH37">
        <v>0.27891119368636702</v>
      </c>
      <c r="EI37">
        <v>7.0698772949821303E-3</v>
      </c>
      <c r="EJ37">
        <v>41.837552244608901</v>
      </c>
      <c r="EK37">
        <v>3.8726828387741699</v>
      </c>
      <c r="EL37">
        <v>0.36163066321452503</v>
      </c>
      <c r="EM37">
        <v>0.95909246021128503</v>
      </c>
      <c r="EN37">
        <v>0.27703177385038602</v>
      </c>
      <c r="EO37">
        <v>0.99471146545431499</v>
      </c>
      <c r="EP37" s="2">
        <v>8.8419724872240604E-7</v>
      </c>
      <c r="EQ37">
        <v>0.48045790227874802</v>
      </c>
      <c r="ER37">
        <v>10703.9619673132</v>
      </c>
      <c r="ES37">
        <v>56.624782545881402</v>
      </c>
      <c r="ET37">
        <v>-4206.4420024381297</v>
      </c>
      <c r="EU37">
        <v>295776.85913140001</v>
      </c>
      <c r="EV37">
        <v>0.93213131350112799</v>
      </c>
      <c r="EW37">
        <v>1.32617563942469</v>
      </c>
      <c r="EX37" s="2">
        <v>9.7698626740566602E-5</v>
      </c>
      <c r="EY37">
        <v>10586.0113209348</v>
      </c>
      <c r="EZ37" s="2">
        <v>9.14633006553914E-5</v>
      </c>
      <c r="FA37">
        <v>9843.1834606840202</v>
      </c>
      <c r="FB37" s="2">
        <v>1.2762046293849201E-4</v>
      </c>
      <c r="FC37">
        <v>14159.6350336705</v>
      </c>
      <c r="FD37">
        <v>410.59967809542002</v>
      </c>
      <c r="FE37">
        <v>5175.2430213172702</v>
      </c>
      <c r="FF37">
        <v>0.90975916871802398</v>
      </c>
      <c r="FG37">
        <v>1.17093198984684E-3</v>
      </c>
      <c r="FH37">
        <v>4.8318482570829803E-2</v>
      </c>
      <c r="FI37">
        <v>6.5082166157916704E-2</v>
      </c>
      <c r="FJ37">
        <v>9308.3371846792797</v>
      </c>
      <c r="FK37">
        <v>9.1286703627413104</v>
      </c>
      <c r="FL37">
        <v>0.70055246143043903</v>
      </c>
      <c r="FM37">
        <v>343.95552297165199</v>
      </c>
      <c r="FN37" s="2">
        <v>1.0828600946906601E-4</v>
      </c>
      <c r="FO37">
        <v>9963.1598240469193</v>
      </c>
      <c r="FP37" s="2">
        <v>7.9225688287941603E-5</v>
      </c>
      <c r="FQ37">
        <v>6806.7292710636702</v>
      </c>
      <c r="FR37">
        <v>3.0886549889611099E-2</v>
      </c>
      <c r="FS37">
        <v>3833901.72629521</v>
      </c>
      <c r="FT37">
        <v>80.492668621700801</v>
      </c>
      <c r="FU37">
        <v>3.9341480264760899E-2</v>
      </c>
      <c r="FV37">
        <v>928.59824046920801</v>
      </c>
      <c r="FW37">
        <v>0.45386033258514502</v>
      </c>
      <c r="FX37">
        <v>0.30172540923167601</v>
      </c>
      <c r="FY37">
        <v>121.56949807410901</v>
      </c>
      <c r="FZ37">
        <v>332.97112574042302</v>
      </c>
      <c r="GA37">
        <v>6.7992601102260597</v>
      </c>
    </row>
    <row r="38" spans="1:183" x14ac:dyDescent="0.2">
      <c r="A38" t="s">
        <v>2476</v>
      </c>
      <c r="B38" t="s">
        <v>182</v>
      </c>
      <c r="C38" t="s">
        <v>831</v>
      </c>
      <c r="D38" s="1">
        <v>43782</v>
      </c>
      <c r="E38" t="s">
        <v>832</v>
      </c>
      <c r="F38" t="s">
        <v>185</v>
      </c>
      <c r="G38" t="s">
        <v>186</v>
      </c>
      <c r="H38">
        <v>1</v>
      </c>
      <c r="I38">
        <v>400</v>
      </c>
      <c r="J38">
        <v>10</v>
      </c>
      <c r="K38" t="s">
        <v>187</v>
      </c>
      <c r="L38" t="s">
        <v>833</v>
      </c>
      <c r="M38">
        <v>0.65222102403640703</v>
      </c>
      <c r="N38">
        <v>2</v>
      </c>
      <c r="O38">
        <v>0.65234375</v>
      </c>
      <c r="P38" t="s">
        <v>834</v>
      </c>
      <c r="Q38">
        <v>0</v>
      </c>
      <c r="R38" t="s">
        <v>194</v>
      </c>
      <c r="T38">
        <v>77466.983529280202</v>
      </c>
      <c r="U38">
        <v>77629.974878114605</v>
      </c>
      <c r="V38">
        <v>91228</v>
      </c>
      <c r="W38">
        <v>26609.653231644501</v>
      </c>
      <c r="X38">
        <v>0.34349670039219798</v>
      </c>
      <c r="Y38">
        <v>56.032780916496499</v>
      </c>
      <c r="Z38">
        <v>1.00689199129442E-2</v>
      </c>
      <c r="AA38">
        <v>3.6022016368877002E-2</v>
      </c>
      <c r="AB38">
        <v>3.0279171903067899</v>
      </c>
      <c r="AC38">
        <v>0.330260022698532</v>
      </c>
      <c r="AD38">
        <v>2.0279171903067899</v>
      </c>
      <c r="AE38" t="s">
        <v>835</v>
      </c>
      <c r="AF38" t="s">
        <v>836</v>
      </c>
      <c r="AG38" t="s">
        <v>837</v>
      </c>
      <c r="AH38" t="s">
        <v>193</v>
      </c>
      <c r="AI38" t="s">
        <v>193</v>
      </c>
      <c r="AJ38" t="s">
        <v>193</v>
      </c>
      <c r="AK38" t="s">
        <v>193</v>
      </c>
      <c r="AL38" t="s">
        <v>193</v>
      </c>
      <c r="AM38" t="s">
        <v>193</v>
      </c>
      <c r="AN38" t="s">
        <v>193</v>
      </c>
      <c r="AO38" t="s">
        <v>193</v>
      </c>
      <c r="AP38" t="s">
        <v>193</v>
      </c>
      <c r="AQ38">
        <v>0.16565293096380501</v>
      </c>
      <c r="AR38" t="s">
        <v>193</v>
      </c>
      <c r="AS38" t="s">
        <v>193</v>
      </c>
      <c r="AT38">
        <v>78.151222932559307</v>
      </c>
      <c r="AU38" t="s">
        <v>193</v>
      </c>
      <c r="AV38" s="2">
        <v>84186076.213925004</v>
      </c>
      <c r="AW38">
        <v>69.734920846701897</v>
      </c>
      <c r="AX38">
        <v>10062.718156573401</v>
      </c>
      <c r="AY38">
        <v>-4.0707364787530897</v>
      </c>
      <c r="AZ38">
        <v>23.392411991643598</v>
      </c>
      <c r="BA38">
        <v>90</v>
      </c>
      <c r="BB38">
        <v>-1017</v>
      </c>
      <c r="BC38">
        <v>13</v>
      </c>
      <c r="BD38">
        <v>52</v>
      </c>
      <c r="BE38">
        <v>90</v>
      </c>
      <c r="BF38">
        <v>115</v>
      </c>
      <c r="BG38">
        <v>141</v>
      </c>
      <c r="BH38">
        <v>100.313100622867</v>
      </c>
      <c r="BI38">
        <v>354</v>
      </c>
      <c r="BJ38">
        <v>63</v>
      </c>
      <c r="BK38">
        <v>1371</v>
      </c>
      <c r="BL38">
        <v>55.3648762290495</v>
      </c>
      <c r="BM38">
        <v>27.0992114826151</v>
      </c>
      <c r="BN38">
        <v>52.363540634426101</v>
      </c>
      <c r="BO38">
        <v>1.4384916395529399</v>
      </c>
      <c r="BP38">
        <v>0.37724550898203502</v>
      </c>
      <c r="BQ38" t="s">
        <v>194</v>
      </c>
      <c r="BR38" s="2">
        <v>1361639692.5622699</v>
      </c>
      <c r="BS38">
        <v>122.170689373798</v>
      </c>
      <c r="BT38">
        <v>5413.5201534567796</v>
      </c>
      <c r="BU38">
        <v>129350.10462373499</v>
      </c>
      <c r="BV38">
        <v>0.50120639038085901</v>
      </c>
      <c r="BW38">
        <v>164.12733459472599</v>
      </c>
      <c r="BX38">
        <v>1.03730151367187</v>
      </c>
      <c r="BY38">
        <v>148.74897766113199</v>
      </c>
      <c r="BZ38">
        <v>77.782196044921804</v>
      </c>
      <c r="CA38" t="s">
        <v>838</v>
      </c>
      <c r="CB38" t="s">
        <v>839</v>
      </c>
      <c r="CC38" t="s">
        <v>840</v>
      </c>
      <c r="CD38" t="s">
        <v>841</v>
      </c>
      <c r="CE38" t="s">
        <v>842</v>
      </c>
      <c r="CF38" t="s">
        <v>843</v>
      </c>
      <c r="CG38" t="s">
        <v>844</v>
      </c>
      <c r="CH38">
        <v>107.52174770903601</v>
      </c>
      <c r="CI38">
        <v>100.684261986948</v>
      </c>
      <c r="CJ38">
        <v>-4.0639637975324199</v>
      </c>
      <c r="CK38">
        <v>23.309677554784901</v>
      </c>
      <c r="CL38">
        <v>110</v>
      </c>
      <c r="CM38">
        <v>1</v>
      </c>
      <c r="CN38">
        <v>102</v>
      </c>
      <c r="CO38">
        <v>106</v>
      </c>
      <c r="CP38">
        <v>110</v>
      </c>
      <c r="CQ38">
        <v>112</v>
      </c>
      <c r="CR38">
        <v>115</v>
      </c>
      <c r="CS38">
        <v>10.034154771925101</v>
      </c>
      <c r="CT38">
        <v>136</v>
      </c>
      <c r="CU38">
        <v>111</v>
      </c>
      <c r="CV38">
        <v>6</v>
      </c>
      <c r="CW38">
        <v>135</v>
      </c>
      <c r="CX38">
        <v>5.5449189157852796</v>
      </c>
      <c r="CY38">
        <v>2.8343433998963499</v>
      </c>
      <c r="CZ38">
        <v>5.2467224974788396</v>
      </c>
      <c r="DA38">
        <v>9.3322095164212193E-2</v>
      </c>
      <c r="DB38">
        <v>2.7522935779816501E-2</v>
      </c>
      <c r="DC38">
        <v>1.3783823932244501</v>
      </c>
      <c r="DD38">
        <v>4.5788871975503804</v>
      </c>
      <c r="DE38">
        <v>1075.21747709034</v>
      </c>
      <c r="DF38">
        <v>5.9071973504406503E-2</v>
      </c>
      <c r="DG38" s="2">
        <v>8.0468640330255399E-4</v>
      </c>
      <c r="DH38">
        <v>1446</v>
      </c>
      <c r="DI38">
        <v>109</v>
      </c>
      <c r="DJ38">
        <v>-1757.5</v>
      </c>
      <c r="DK38">
        <v>113</v>
      </c>
      <c r="DL38">
        <v>0.50120639038085901</v>
      </c>
      <c r="DM38">
        <v>164.12733459472599</v>
      </c>
      <c r="DN38">
        <v>1.03730151367187</v>
      </c>
      <c r="DO38">
        <v>148.74897766113199</v>
      </c>
      <c r="DP38">
        <v>77.782196044921804</v>
      </c>
      <c r="DQ38" t="s">
        <v>845</v>
      </c>
      <c r="DR38" t="s">
        <v>846</v>
      </c>
      <c r="DS38" t="s">
        <v>847</v>
      </c>
      <c r="DT38" t="s">
        <v>848</v>
      </c>
      <c r="DU38" t="s">
        <v>842</v>
      </c>
      <c r="DV38" t="s">
        <v>843</v>
      </c>
      <c r="DW38" t="s">
        <v>849</v>
      </c>
      <c r="DX38">
        <v>2.6247515235224301E-2</v>
      </c>
      <c r="DY38">
        <v>108.495106063292</v>
      </c>
      <c r="DZ38">
        <v>66.7207486829071</v>
      </c>
      <c r="EA38">
        <v>8.1332110949799592</v>
      </c>
      <c r="EB38">
        <v>2.4483405006560601</v>
      </c>
      <c r="EC38">
        <v>3.45997032280945</v>
      </c>
      <c r="ED38">
        <v>44.954515045828003</v>
      </c>
      <c r="EE38">
        <v>8.1332110949789396</v>
      </c>
      <c r="EF38">
        <v>216.99021212658499</v>
      </c>
      <c r="EG38">
        <v>209.95708505107899</v>
      </c>
      <c r="EH38">
        <v>8.1332110949800605</v>
      </c>
      <c r="EI38">
        <v>8.1326463003508608E-3</v>
      </c>
      <c r="EJ38">
        <v>56.925909680550198</v>
      </c>
      <c r="EK38">
        <v>3.45997032280945</v>
      </c>
      <c r="EL38">
        <v>0.44989757868145802</v>
      </c>
      <c r="EM38">
        <v>0.97703047578173996</v>
      </c>
      <c r="EN38">
        <v>0.386773229610887</v>
      </c>
      <c r="EO38">
        <v>0.99716373689987303</v>
      </c>
      <c r="EP38">
        <v>6.8206045367239596E-3</v>
      </c>
      <c r="EQ38">
        <v>0.57340174680074196</v>
      </c>
      <c r="ER38">
        <v>11809.4458335277</v>
      </c>
      <c r="ES38">
        <v>209.95708505107899</v>
      </c>
      <c r="ET38">
        <v>-12125.946462788001</v>
      </c>
      <c r="EU38">
        <v>1349263.5868569401</v>
      </c>
      <c r="EV38">
        <v>0.87890341709859399</v>
      </c>
      <c r="EW38">
        <v>1.75250082490091</v>
      </c>
      <c r="EX38" s="2">
        <v>2.0280706030287299E-4</v>
      </c>
      <c r="EY38">
        <v>11587.017431927999</v>
      </c>
      <c r="EZ38" s="2">
        <v>1.89780091697828E-4</v>
      </c>
      <c r="FA38">
        <v>10130.1866229836</v>
      </c>
      <c r="FB38" s="2">
        <v>2.8256380333693999E-4</v>
      </c>
      <c r="FC38">
        <v>20635.143437107701</v>
      </c>
      <c r="FD38">
        <v>4231.3860525037198</v>
      </c>
      <c r="FE38">
        <v>56072.422225674301</v>
      </c>
      <c r="FF38">
        <v>0.834240331072444</v>
      </c>
      <c r="FG38" s="2">
        <v>1.21729188074336E-4</v>
      </c>
      <c r="FH38">
        <v>3.04447319933711E-2</v>
      </c>
      <c r="FI38">
        <v>0.32871159071530598</v>
      </c>
      <c r="FJ38">
        <v>25482.552067917499</v>
      </c>
      <c r="FK38">
        <v>3.3668928235509998</v>
      </c>
      <c r="FL38">
        <v>0.73476393782151805</v>
      </c>
      <c r="FM38">
        <v>8028.2765857662098</v>
      </c>
      <c r="FN38" s="2">
        <v>3.9326760427033699E-4</v>
      </c>
      <c r="FO38">
        <v>10116.2849689295</v>
      </c>
      <c r="FP38" s="2">
        <v>2.2531066944531301E-4</v>
      </c>
      <c r="FQ38">
        <v>7062.3404726425097</v>
      </c>
      <c r="FR38">
        <v>0.66356647696099702</v>
      </c>
      <c r="FS38" s="2">
        <v>97461654.184077799</v>
      </c>
      <c r="FT38">
        <v>451.45784968929502</v>
      </c>
      <c r="FU38">
        <v>2.6466048170318598E-2</v>
      </c>
      <c r="FV38">
        <v>8538.3348575448399</v>
      </c>
      <c r="FW38">
        <v>0.50054724220570102</v>
      </c>
      <c r="FX38">
        <v>0.18698206690928201</v>
      </c>
      <c r="FY38">
        <v>336.89773310499203</v>
      </c>
      <c r="FZ38">
        <v>7999.6743430553697</v>
      </c>
      <c r="GA38">
        <v>7.4133711970575797</v>
      </c>
    </row>
    <row r="39" spans="1:183" x14ac:dyDescent="0.2">
      <c r="A39" t="s">
        <v>2477</v>
      </c>
      <c r="B39" t="s">
        <v>182</v>
      </c>
      <c r="C39" t="s">
        <v>850</v>
      </c>
      <c r="D39" s="1">
        <v>43286</v>
      </c>
      <c r="E39" t="s">
        <v>851</v>
      </c>
      <c r="F39" t="s">
        <v>185</v>
      </c>
      <c r="G39" t="s">
        <v>186</v>
      </c>
      <c r="H39">
        <v>1</v>
      </c>
      <c r="I39">
        <v>400</v>
      </c>
      <c r="J39">
        <v>10</v>
      </c>
      <c r="K39" t="s">
        <v>187</v>
      </c>
      <c r="L39" t="s">
        <v>852</v>
      </c>
      <c r="M39">
        <v>5</v>
      </c>
      <c r="N39">
        <v>0.7265625</v>
      </c>
      <c r="O39">
        <v>0.7265625</v>
      </c>
      <c r="P39" t="s">
        <v>853</v>
      </c>
      <c r="Q39">
        <v>0</v>
      </c>
      <c r="R39" t="s">
        <v>194</v>
      </c>
      <c r="T39">
        <v>9824.8598098754792</v>
      </c>
      <c r="U39">
        <v>9919.1107177734302</v>
      </c>
      <c r="V39">
        <v>3758</v>
      </c>
      <c r="W39">
        <v>3436.3467158354902</v>
      </c>
      <c r="X39">
        <v>0.34976038155592198</v>
      </c>
      <c r="Y39">
        <v>20.503079806634101</v>
      </c>
      <c r="Z39">
        <v>2.75173090515504E-2</v>
      </c>
      <c r="AA39">
        <v>0.26903833658331699</v>
      </c>
      <c r="AB39">
        <v>1.54903754307785</v>
      </c>
      <c r="AC39">
        <v>0.64556214564887204</v>
      </c>
      <c r="AD39">
        <v>0.54903754307785702</v>
      </c>
      <c r="AE39" t="s">
        <v>854</v>
      </c>
      <c r="AF39" t="s">
        <v>855</v>
      </c>
      <c r="AG39" t="s">
        <v>856</v>
      </c>
      <c r="AH39" t="s">
        <v>193</v>
      </c>
      <c r="AI39" t="s">
        <v>193</v>
      </c>
      <c r="AJ39" t="s">
        <v>193</v>
      </c>
      <c r="AK39" t="s">
        <v>193</v>
      </c>
      <c r="AL39" t="s">
        <v>193</v>
      </c>
      <c r="AM39" t="s">
        <v>193</v>
      </c>
      <c r="AN39" t="s">
        <v>193</v>
      </c>
      <c r="AO39" t="s">
        <v>193</v>
      </c>
      <c r="AP39" t="s">
        <v>193</v>
      </c>
      <c r="AQ39">
        <v>6.2959302268677297E-2</v>
      </c>
      <c r="AR39" t="s">
        <v>193</v>
      </c>
      <c r="AS39" t="s">
        <v>193</v>
      </c>
      <c r="AT39">
        <v>39.329940735796299</v>
      </c>
      <c r="AU39" t="s">
        <v>193</v>
      </c>
      <c r="AV39">
        <v>4248017.8779280698</v>
      </c>
      <c r="AW39">
        <v>12.3744012772751</v>
      </c>
      <c r="AX39">
        <v>1231.8244325180599</v>
      </c>
      <c r="AY39">
        <v>-2.29951688077775</v>
      </c>
      <c r="AZ39">
        <v>13.3827353389033</v>
      </c>
      <c r="BA39">
        <v>16</v>
      </c>
      <c r="BB39">
        <v>-420</v>
      </c>
      <c r="BC39">
        <v>-19</v>
      </c>
      <c r="BD39">
        <v>-1</v>
      </c>
      <c r="BE39">
        <v>16</v>
      </c>
      <c r="BF39">
        <v>32</v>
      </c>
      <c r="BG39">
        <v>49</v>
      </c>
      <c r="BH39">
        <v>35.097356489030098</v>
      </c>
      <c r="BI39">
        <v>160</v>
      </c>
      <c r="BJ39">
        <v>33</v>
      </c>
      <c r="BK39">
        <v>580</v>
      </c>
      <c r="BL39">
        <v>23.421429564773302</v>
      </c>
      <c r="BM39">
        <v>14.196339180429399</v>
      </c>
      <c r="BN39">
        <v>23.221660457690199</v>
      </c>
      <c r="BO39">
        <v>2.8362872435278401</v>
      </c>
      <c r="BP39">
        <v>1.06451612903225</v>
      </c>
      <c r="BQ39" t="s">
        <v>194</v>
      </c>
      <c r="BR39">
        <v>5204643</v>
      </c>
      <c r="BS39">
        <v>37.2149195819242</v>
      </c>
      <c r="BT39">
        <v>122.743056335449</v>
      </c>
      <c r="BU39">
        <v>802.3974609375</v>
      </c>
      <c r="BV39">
        <v>0.57804290771484301</v>
      </c>
      <c r="BW39">
        <v>42.133026123046797</v>
      </c>
      <c r="BX39">
        <v>1.0214730834960899</v>
      </c>
      <c r="BY39">
        <v>34.7694282531738</v>
      </c>
      <c r="BZ39">
        <v>21.7874660491943</v>
      </c>
      <c r="CA39" t="s">
        <v>857</v>
      </c>
      <c r="CB39" t="s">
        <v>858</v>
      </c>
      <c r="CC39" t="s">
        <v>859</v>
      </c>
      <c r="CD39" t="s">
        <v>860</v>
      </c>
      <c r="CE39" t="s">
        <v>861</v>
      </c>
      <c r="CF39" t="s">
        <v>862</v>
      </c>
      <c r="CG39" t="s">
        <v>863</v>
      </c>
      <c r="CH39">
        <v>101.78791910590699</v>
      </c>
      <c r="CI39">
        <v>12.398608708730199</v>
      </c>
      <c r="CJ39">
        <v>-2.27148905712796</v>
      </c>
      <c r="CK39">
        <v>13.058528329857699</v>
      </c>
      <c r="CL39">
        <v>102</v>
      </c>
      <c r="CM39">
        <v>59</v>
      </c>
      <c r="CN39">
        <v>99</v>
      </c>
      <c r="CO39">
        <v>100</v>
      </c>
      <c r="CP39">
        <v>102</v>
      </c>
      <c r="CQ39">
        <v>104</v>
      </c>
      <c r="CR39">
        <v>105</v>
      </c>
      <c r="CS39">
        <v>3.5211658167047801</v>
      </c>
      <c r="CT39">
        <v>117</v>
      </c>
      <c r="CU39">
        <v>102</v>
      </c>
      <c r="CV39">
        <v>4</v>
      </c>
      <c r="CW39">
        <v>58</v>
      </c>
      <c r="CX39">
        <v>2.35228263083106</v>
      </c>
      <c r="CY39">
        <v>1.42341548986143</v>
      </c>
      <c r="CZ39">
        <v>2.30894092602448</v>
      </c>
      <c r="DA39">
        <v>3.4593160442165101E-2</v>
      </c>
      <c r="DB39">
        <v>1.9607843137254902E-2</v>
      </c>
      <c r="DC39">
        <v>1.07434440690988</v>
      </c>
      <c r="DD39">
        <v>3.5688948688990298</v>
      </c>
      <c r="DE39">
        <v>1017.87919105905</v>
      </c>
      <c r="DF39">
        <v>0.109166720717286</v>
      </c>
      <c r="DG39">
        <v>5.3897267088494002E-3</v>
      </c>
      <c r="DH39">
        <v>176</v>
      </c>
      <c r="DI39">
        <v>100</v>
      </c>
      <c r="DJ39">
        <v>-118</v>
      </c>
      <c r="DK39">
        <v>104</v>
      </c>
      <c r="DL39">
        <v>0.57804290771484301</v>
      </c>
      <c r="DM39">
        <v>42.133026123046797</v>
      </c>
      <c r="DN39">
        <v>1.0214730834960899</v>
      </c>
      <c r="DO39">
        <v>34.7694282531738</v>
      </c>
      <c r="DP39">
        <v>21.7874660491943</v>
      </c>
      <c r="DQ39" t="s">
        <v>864</v>
      </c>
      <c r="DR39" t="s">
        <v>865</v>
      </c>
      <c r="DS39" t="s">
        <v>866</v>
      </c>
      <c r="DT39" t="s">
        <v>867</v>
      </c>
      <c r="DU39" t="s">
        <v>861</v>
      </c>
      <c r="DV39" t="s">
        <v>862</v>
      </c>
      <c r="DW39" t="s">
        <v>868</v>
      </c>
      <c r="DX39">
        <v>3.7389280036338797E-2</v>
      </c>
      <c r="DY39">
        <v>102.08644674085799</v>
      </c>
      <c r="DZ39">
        <v>10.388308246482101</v>
      </c>
      <c r="EA39">
        <v>6.7546469887105101</v>
      </c>
      <c r="EB39">
        <v>2.0333513537232499</v>
      </c>
      <c r="EC39">
        <v>2.3596411537587998</v>
      </c>
      <c r="ED39">
        <v>8.2640263985970694</v>
      </c>
      <c r="EE39">
        <v>6.7546469887105003</v>
      </c>
      <c r="EF39">
        <v>204.17289348171599</v>
      </c>
      <c r="EG39">
        <v>0</v>
      </c>
      <c r="EH39">
        <v>0</v>
      </c>
      <c r="EI39">
        <v>1.5984217506449901E-2</v>
      </c>
      <c r="EJ39">
        <v>13.8319327731092</v>
      </c>
      <c r="EK39">
        <v>2.3596411537587998</v>
      </c>
      <c r="EL39">
        <v>0.45921331221102302</v>
      </c>
      <c r="EM39">
        <v>0.96337395365242395</v>
      </c>
      <c r="EN39">
        <v>0.39149947796722101</v>
      </c>
      <c r="EO39">
        <v>0.99624330936177996</v>
      </c>
      <c r="EP39">
        <v>0</v>
      </c>
      <c r="EQ39">
        <v>0.33425479659821999</v>
      </c>
      <c r="ER39">
        <v>10425.114950034</v>
      </c>
      <c r="ES39">
        <v>0</v>
      </c>
      <c r="ET39">
        <v>-258.48456160905999</v>
      </c>
      <c r="EU39">
        <v>9817.7680661294398</v>
      </c>
      <c r="EV39">
        <v>0.900057026620107</v>
      </c>
      <c r="EW39">
        <v>1.63033853512792</v>
      </c>
      <c r="EX39" s="2">
        <v>9.7121412822683706E-5</v>
      </c>
      <c r="EY39">
        <v>10356.7039983542</v>
      </c>
      <c r="EZ39" s="2">
        <v>8.7562660000159505E-5</v>
      </c>
      <c r="FA39">
        <v>9309.4759533116794</v>
      </c>
      <c r="FB39" s="2">
        <v>1.5748672106787601E-4</v>
      </c>
      <c r="FC39">
        <v>16952.310013303999</v>
      </c>
      <c r="FD39">
        <v>343.49804865836302</v>
      </c>
      <c r="FE39">
        <v>2591.35538274705</v>
      </c>
      <c r="FF39">
        <v>0.86903835919269601</v>
      </c>
      <c r="FG39">
        <v>1.9633090237935499E-3</v>
      </c>
      <c r="FH39">
        <v>3.4940771101856297E-2</v>
      </c>
      <c r="FI39">
        <v>9.1925207020924202E-2</v>
      </c>
      <c r="FJ39">
        <v>1255.82812567731</v>
      </c>
      <c r="FK39">
        <v>2.3447446884155201</v>
      </c>
      <c r="FL39">
        <v>0.62541055204438101</v>
      </c>
      <c r="FM39">
        <v>776.18435754189898</v>
      </c>
      <c r="FN39" s="2">
        <v>1.0117903937970801E-4</v>
      </c>
      <c r="FO39">
        <v>10029.9804469273</v>
      </c>
      <c r="FP39" s="2">
        <v>6.4401823211786602E-5</v>
      </c>
      <c r="FQ39">
        <v>6181.2169989203403</v>
      </c>
      <c r="FR39">
        <v>7.4023799370626905E-2</v>
      </c>
      <c r="FS39">
        <v>8144023.9399441304</v>
      </c>
      <c r="FT39">
        <v>43.067039106145202</v>
      </c>
      <c r="FU39">
        <v>6.0149495958303399E-2</v>
      </c>
      <c r="FV39">
        <v>260.527932960893</v>
      </c>
      <c r="FW39">
        <v>0.36386582815767299</v>
      </c>
      <c r="FX39">
        <v>0.19052687599787099</v>
      </c>
      <c r="FY39">
        <v>32.773547954183599</v>
      </c>
      <c r="FZ39">
        <v>748.63652039574299</v>
      </c>
      <c r="GA39">
        <v>6.28483333246378</v>
      </c>
    </row>
    <row r="40" spans="1:183" x14ac:dyDescent="0.2">
      <c r="A40" t="s">
        <v>2478</v>
      </c>
      <c r="B40" t="s">
        <v>182</v>
      </c>
      <c r="C40" t="s">
        <v>869</v>
      </c>
      <c r="D40" s="1">
        <v>42818</v>
      </c>
      <c r="E40" t="s">
        <v>870</v>
      </c>
      <c r="F40" t="s">
        <v>185</v>
      </c>
      <c r="G40" t="s">
        <v>186</v>
      </c>
      <c r="H40">
        <v>1</v>
      </c>
      <c r="I40">
        <v>400</v>
      </c>
      <c r="J40">
        <v>10</v>
      </c>
      <c r="K40" t="s">
        <v>187</v>
      </c>
      <c r="L40" t="s">
        <v>871</v>
      </c>
      <c r="M40">
        <v>2.5</v>
      </c>
      <c r="N40">
        <v>0.64648401737213101</v>
      </c>
      <c r="O40">
        <v>0.64648401737213101</v>
      </c>
      <c r="P40" t="s">
        <v>872</v>
      </c>
      <c r="Q40">
        <v>0</v>
      </c>
      <c r="R40" t="s">
        <v>194</v>
      </c>
      <c r="T40">
        <v>44582.958370913198</v>
      </c>
      <c r="U40">
        <v>44701.984644996097</v>
      </c>
      <c r="V40">
        <v>42783</v>
      </c>
      <c r="W40">
        <v>10796.9870882738</v>
      </c>
      <c r="X40">
        <v>0.24217744812820599</v>
      </c>
      <c r="Y40">
        <v>25.164307856637102</v>
      </c>
      <c r="Z40">
        <v>2.2420230540890901E-2</v>
      </c>
      <c r="AA40">
        <v>0.178600386411983</v>
      </c>
      <c r="AB40">
        <v>1.7757120232066601</v>
      </c>
      <c r="AC40">
        <v>0.56315437803600099</v>
      </c>
      <c r="AD40">
        <v>0.77571202320666499</v>
      </c>
      <c r="AE40" t="s">
        <v>873</v>
      </c>
      <c r="AF40" t="s">
        <v>874</v>
      </c>
      <c r="AG40" t="s">
        <v>875</v>
      </c>
      <c r="AH40" t="s">
        <v>193</v>
      </c>
      <c r="AI40" t="s">
        <v>193</v>
      </c>
      <c r="AJ40" t="s">
        <v>193</v>
      </c>
      <c r="AK40" t="s">
        <v>193</v>
      </c>
      <c r="AL40" t="s">
        <v>193</v>
      </c>
      <c r="AM40" t="s">
        <v>193</v>
      </c>
      <c r="AN40" t="s">
        <v>193</v>
      </c>
      <c r="AO40" t="s">
        <v>193</v>
      </c>
      <c r="AP40" t="s">
        <v>193</v>
      </c>
      <c r="AQ40">
        <v>0.29669481215125998</v>
      </c>
      <c r="AR40" t="s">
        <v>193</v>
      </c>
      <c r="AS40" t="s">
        <v>193</v>
      </c>
      <c r="AT40">
        <v>81.260710228997894</v>
      </c>
      <c r="AU40" t="s">
        <v>193</v>
      </c>
      <c r="AV40" s="2">
        <v>31749957.580988798</v>
      </c>
      <c r="AW40">
        <v>32.154570740714497</v>
      </c>
      <c r="AX40">
        <v>2176.0132020590199</v>
      </c>
      <c r="AY40">
        <v>-4.0823537264947296</v>
      </c>
      <c r="AZ40">
        <v>32.584413621586897</v>
      </c>
      <c r="BA40">
        <v>39</v>
      </c>
      <c r="BB40">
        <v>-680</v>
      </c>
      <c r="BC40">
        <v>-5</v>
      </c>
      <c r="BD40">
        <v>18</v>
      </c>
      <c r="BE40">
        <v>39</v>
      </c>
      <c r="BF40">
        <v>57</v>
      </c>
      <c r="BG40">
        <v>71</v>
      </c>
      <c r="BH40">
        <v>46.6477566669504</v>
      </c>
      <c r="BI40">
        <v>557</v>
      </c>
      <c r="BJ40">
        <v>39</v>
      </c>
      <c r="BK40">
        <v>1237</v>
      </c>
      <c r="BL40">
        <v>27.910769392199601</v>
      </c>
      <c r="BM40">
        <v>16.5509235968062</v>
      </c>
      <c r="BN40">
        <v>27.317439169763599</v>
      </c>
      <c r="BO40">
        <v>1.45073485953536</v>
      </c>
      <c r="BP40">
        <v>0.52</v>
      </c>
      <c r="BQ40" t="s">
        <v>194</v>
      </c>
      <c r="BR40" s="2">
        <v>137330419</v>
      </c>
      <c r="BS40">
        <v>56.6562407999212</v>
      </c>
      <c r="BT40">
        <v>1437.37312751786</v>
      </c>
      <c r="BU40">
        <v>13655.1956928091</v>
      </c>
      <c r="BV40">
        <v>0.52347180175781205</v>
      </c>
      <c r="BW40">
        <v>71.660675048828097</v>
      </c>
      <c r="BX40">
        <v>1.0041046142578101</v>
      </c>
      <c r="BY40">
        <v>66.533821105957003</v>
      </c>
      <c r="BZ40">
        <v>27.570224761962798</v>
      </c>
      <c r="CA40" t="s">
        <v>876</v>
      </c>
      <c r="CB40" t="s">
        <v>877</v>
      </c>
      <c r="CC40" t="s">
        <v>878</v>
      </c>
      <c r="CD40" t="s">
        <v>879</v>
      </c>
      <c r="CE40" t="s">
        <v>880</v>
      </c>
      <c r="CF40" t="s">
        <v>881</v>
      </c>
      <c r="CG40" t="s">
        <v>882</v>
      </c>
      <c r="CH40">
        <v>103.766098684056</v>
      </c>
      <c r="CI40">
        <v>21.846909976657699</v>
      </c>
      <c r="CJ40">
        <v>-4.0618532593528496</v>
      </c>
      <c r="CK40">
        <v>32.366110411432203</v>
      </c>
      <c r="CL40">
        <v>104</v>
      </c>
      <c r="CM40">
        <v>33</v>
      </c>
      <c r="CN40">
        <v>100</v>
      </c>
      <c r="CO40">
        <v>102</v>
      </c>
      <c r="CP40">
        <v>104</v>
      </c>
      <c r="CQ40">
        <v>106</v>
      </c>
      <c r="CR40">
        <v>108</v>
      </c>
      <c r="CS40">
        <v>4.6740678190049598</v>
      </c>
      <c r="CT40">
        <v>156</v>
      </c>
      <c r="CU40">
        <v>105</v>
      </c>
      <c r="CV40">
        <v>4</v>
      </c>
      <c r="CW40">
        <v>123</v>
      </c>
      <c r="CX40">
        <v>2.8014337337059301</v>
      </c>
      <c r="CY40">
        <v>1.8397161871377199</v>
      </c>
      <c r="CZ40">
        <v>2.7452259074866099</v>
      </c>
      <c r="DA40">
        <v>4.5044266656264903E-2</v>
      </c>
      <c r="DB40">
        <v>1.9230769230769201E-2</v>
      </c>
      <c r="DC40">
        <v>1.1245998853817101</v>
      </c>
      <c r="DD40">
        <v>3.7358399547566301</v>
      </c>
      <c r="DE40">
        <v>1037.6609868405401</v>
      </c>
      <c r="DF40">
        <v>9.6780974705590897E-2</v>
      </c>
      <c r="DG40">
        <v>1.5040399724819799E-3</v>
      </c>
      <c r="DH40">
        <v>1081</v>
      </c>
      <c r="DI40">
        <v>101</v>
      </c>
      <c r="DJ40">
        <v>-1593.5</v>
      </c>
      <c r="DK40">
        <v>108</v>
      </c>
      <c r="DL40">
        <v>0.52347180175781205</v>
      </c>
      <c r="DM40">
        <v>71.660675048828097</v>
      </c>
      <c r="DN40">
        <v>1.0041046142578101</v>
      </c>
      <c r="DO40">
        <v>66.533821105957003</v>
      </c>
      <c r="DP40">
        <v>27.570224761962798</v>
      </c>
      <c r="DQ40" t="s">
        <v>883</v>
      </c>
      <c r="DR40" t="s">
        <v>884</v>
      </c>
      <c r="DS40" t="s">
        <v>885</v>
      </c>
      <c r="DT40" t="s">
        <v>886</v>
      </c>
      <c r="DU40" t="s">
        <v>880</v>
      </c>
      <c r="DV40" t="s">
        <v>881</v>
      </c>
      <c r="DW40" t="s">
        <v>887</v>
      </c>
      <c r="DX40">
        <v>3.37605841059496E-2</v>
      </c>
      <c r="DY40">
        <v>104.082938984086</v>
      </c>
      <c r="DZ40">
        <v>15.4595324194564</v>
      </c>
      <c r="EA40">
        <v>6.8803743971379001</v>
      </c>
      <c r="EB40">
        <v>2.0711990749369802</v>
      </c>
      <c r="EC40">
        <v>2.21074734040414</v>
      </c>
      <c r="ED40">
        <v>10.7217562229492</v>
      </c>
      <c r="EE40">
        <v>6.8803743971377802</v>
      </c>
      <c r="EF40">
        <v>208.16587796817299</v>
      </c>
      <c r="EG40">
        <v>46.061735280328698</v>
      </c>
      <c r="EH40">
        <v>6.8792969839735703</v>
      </c>
      <c r="EI40">
        <v>1.4355518755531E-2</v>
      </c>
      <c r="EJ40">
        <v>15.6091600260531</v>
      </c>
      <c r="EK40">
        <v>2.21074734040414</v>
      </c>
      <c r="EL40">
        <v>0.47682026403328098</v>
      </c>
      <c r="EM40">
        <v>0.98306361243371398</v>
      </c>
      <c r="EN40">
        <v>0.412464387404892</v>
      </c>
      <c r="EO40">
        <v>0.99901705486783399</v>
      </c>
      <c r="EP40" s="2">
        <v>1.11417364289856E-6</v>
      </c>
      <c r="EQ40">
        <v>0.49516066842977202</v>
      </c>
      <c r="ER40">
        <v>10840.913139971501</v>
      </c>
      <c r="ES40">
        <v>46.061735280328698</v>
      </c>
      <c r="ET40">
        <v>-961.20848926501696</v>
      </c>
      <c r="EU40">
        <v>57941.7170420322</v>
      </c>
      <c r="EV40">
        <v>0.87123313330858099</v>
      </c>
      <c r="EW40">
        <v>1.7809312237932999</v>
      </c>
      <c r="EX40" s="2">
        <v>9.4203014794239204E-5</v>
      </c>
      <c r="EY40">
        <v>10753.236795688999</v>
      </c>
      <c r="EZ40" s="2">
        <v>8.2415847477976796E-5</v>
      </c>
      <c r="FA40">
        <v>9343.1645612414195</v>
      </c>
      <c r="FB40" s="2">
        <v>1.65588828398008E-4</v>
      </c>
      <c r="FC40">
        <v>19315.127360062801</v>
      </c>
      <c r="FD40">
        <v>3282.1431784393199</v>
      </c>
      <c r="FE40">
        <v>25664.293519247902</v>
      </c>
      <c r="FF40">
        <v>0.82838798300547101</v>
      </c>
      <c r="FG40" s="2">
        <v>2.0565438996626199E-4</v>
      </c>
      <c r="FH40">
        <v>8.7979931287025005E-3</v>
      </c>
      <c r="FI40">
        <v>0.28895807312300897</v>
      </c>
      <c r="FJ40">
        <v>7574.4252154474998</v>
      </c>
      <c r="FK40">
        <v>2.9466164828890302</v>
      </c>
      <c r="FL40">
        <v>0.66445485913175395</v>
      </c>
      <c r="FM40">
        <v>18857.071824224498</v>
      </c>
      <c r="FN40" s="2">
        <v>1.06037148904831E-4</v>
      </c>
      <c r="FO40">
        <v>9961.6573116691197</v>
      </c>
      <c r="FP40" s="2">
        <v>7.4059612308622998E-5</v>
      </c>
      <c r="FQ40">
        <v>6398.4317684870302</v>
      </c>
      <c r="FR40">
        <v>1.71453775406696</v>
      </c>
      <c r="FS40" s="2">
        <v>207589882.398633</v>
      </c>
      <c r="FT40">
        <v>239.30871491875899</v>
      </c>
      <c r="FU40">
        <v>4.4185508662990897E-2</v>
      </c>
      <c r="FV40">
        <v>2210.60044313146</v>
      </c>
      <c r="FW40">
        <v>0.40816108625026998</v>
      </c>
      <c r="FX40">
        <v>0.12659233807820799</v>
      </c>
      <c r="FY40">
        <v>97.456046720805503</v>
      </c>
      <c r="FZ40">
        <v>18794.671742589599</v>
      </c>
      <c r="GA40">
        <v>6.8990564038365498</v>
      </c>
    </row>
    <row r="41" spans="1:183" x14ac:dyDescent="0.2">
      <c r="A41" t="s">
        <v>2479</v>
      </c>
      <c r="B41" t="s">
        <v>182</v>
      </c>
      <c r="C41" t="s">
        <v>888</v>
      </c>
      <c r="D41" s="1">
        <v>42894</v>
      </c>
      <c r="E41" t="s">
        <v>495</v>
      </c>
      <c r="F41" t="s">
        <v>185</v>
      </c>
      <c r="G41" t="s">
        <v>186</v>
      </c>
      <c r="H41">
        <v>1</v>
      </c>
      <c r="I41">
        <v>400</v>
      </c>
      <c r="J41">
        <v>10</v>
      </c>
      <c r="K41" t="s">
        <v>187</v>
      </c>
      <c r="L41" t="s">
        <v>889</v>
      </c>
      <c r="M41">
        <v>1.5</v>
      </c>
      <c r="N41">
        <v>0.64453125</v>
      </c>
      <c r="O41">
        <v>0.64453125</v>
      </c>
      <c r="P41" t="s">
        <v>890</v>
      </c>
      <c r="Q41">
        <v>0</v>
      </c>
      <c r="R41" t="s">
        <v>194</v>
      </c>
      <c r="T41">
        <v>360114.86978530802</v>
      </c>
      <c r="U41">
        <v>360281.141853332</v>
      </c>
      <c r="V41">
        <v>578179</v>
      </c>
      <c r="W41">
        <v>71306.488674976907</v>
      </c>
      <c r="X41">
        <v>0.198010397952986</v>
      </c>
      <c r="Y41">
        <v>52.875260761191001</v>
      </c>
      <c r="Z41">
        <v>1.06701995493865E-2</v>
      </c>
      <c r="AA41">
        <v>4.0452682804443099E-2</v>
      </c>
      <c r="AB41">
        <v>2.91306979610119</v>
      </c>
      <c r="AC41">
        <v>0.343280480728056</v>
      </c>
      <c r="AD41">
        <v>1.91306979610119</v>
      </c>
      <c r="AE41" t="s">
        <v>891</v>
      </c>
      <c r="AF41" t="s">
        <v>892</v>
      </c>
      <c r="AG41" t="s">
        <v>893</v>
      </c>
      <c r="AH41" t="s">
        <v>193</v>
      </c>
      <c r="AI41" t="s">
        <v>193</v>
      </c>
      <c r="AJ41" t="s">
        <v>193</v>
      </c>
      <c r="AK41" t="s">
        <v>193</v>
      </c>
      <c r="AL41" t="s">
        <v>193</v>
      </c>
      <c r="AM41" t="s">
        <v>193</v>
      </c>
      <c r="AN41" t="s">
        <v>193</v>
      </c>
      <c r="AO41" t="s">
        <v>193</v>
      </c>
      <c r="AP41" t="s">
        <v>193</v>
      </c>
      <c r="AQ41">
        <v>0.160347682827821</v>
      </c>
      <c r="AR41" t="s">
        <v>193</v>
      </c>
      <c r="AS41" t="s">
        <v>193</v>
      </c>
      <c r="AT41">
        <v>163.10740450967799</v>
      </c>
      <c r="AU41" t="s">
        <v>193</v>
      </c>
      <c r="AV41" s="2">
        <v>381268368.856408</v>
      </c>
      <c r="AW41">
        <v>39.7409764104193</v>
      </c>
      <c r="AX41">
        <v>5998.2789484038703</v>
      </c>
      <c r="AY41">
        <v>-3.8428727221721202</v>
      </c>
      <c r="AZ41">
        <v>30.108770671687299</v>
      </c>
      <c r="BA41">
        <v>47</v>
      </c>
      <c r="BB41">
        <v>-1019</v>
      </c>
      <c r="BC41">
        <v>-14</v>
      </c>
      <c r="BD41">
        <v>18</v>
      </c>
      <c r="BE41">
        <v>47</v>
      </c>
      <c r="BF41">
        <v>75</v>
      </c>
      <c r="BG41">
        <v>102</v>
      </c>
      <c r="BH41">
        <v>77.448556787094901</v>
      </c>
      <c r="BI41">
        <v>731</v>
      </c>
      <c r="BJ41">
        <v>57</v>
      </c>
      <c r="BK41">
        <v>1750</v>
      </c>
      <c r="BL41">
        <v>43.993903851551899</v>
      </c>
      <c r="BM41">
        <v>24.201043139151501</v>
      </c>
      <c r="BN41">
        <v>43.524910105693898</v>
      </c>
      <c r="BO41">
        <v>1.94883376762704</v>
      </c>
      <c r="BP41">
        <v>0.61290322580645096</v>
      </c>
      <c r="BQ41" t="s">
        <v>194</v>
      </c>
      <c r="BR41" s="2">
        <v>4381223156</v>
      </c>
      <c r="BS41">
        <v>87.04954999572</v>
      </c>
      <c r="BT41">
        <v>14317.924359512201</v>
      </c>
      <c r="BU41">
        <v>329728.415679931</v>
      </c>
      <c r="BV41">
        <v>0.53277685546874998</v>
      </c>
      <c r="BW41">
        <v>139.55322265625</v>
      </c>
      <c r="BX41">
        <v>1.0001249389648399</v>
      </c>
      <c r="BY41">
        <v>115.62858581542901</v>
      </c>
      <c r="BZ41">
        <v>47.338981628417898</v>
      </c>
      <c r="CA41" t="s">
        <v>894</v>
      </c>
      <c r="CB41" t="s">
        <v>895</v>
      </c>
      <c r="CC41" t="s">
        <v>896</v>
      </c>
      <c r="CD41" t="s">
        <v>897</v>
      </c>
      <c r="CE41" t="s">
        <v>898</v>
      </c>
      <c r="CF41" t="s">
        <v>899</v>
      </c>
      <c r="CG41" t="s">
        <v>900</v>
      </c>
      <c r="CH41">
        <v>104.523746106307</v>
      </c>
      <c r="CI41">
        <v>60.045039214211002</v>
      </c>
      <c r="CJ41">
        <v>-3.82977503965758</v>
      </c>
      <c r="CK41">
        <v>29.925338690919201</v>
      </c>
      <c r="CL41">
        <v>105</v>
      </c>
      <c r="CM41">
        <v>1</v>
      </c>
      <c r="CN41">
        <v>99</v>
      </c>
      <c r="CO41">
        <v>102</v>
      </c>
      <c r="CP41">
        <v>105</v>
      </c>
      <c r="CQ41">
        <v>108</v>
      </c>
      <c r="CR41">
        <v>111</v>
      </c>
      <c r="CS41">
        <v>7.7488734158076804</v>
      </c>
      <c r="CT41">
        <v>174</v>
      </c>
      <c r="CU41">
        <v>105</v>
      </c>
      <c r="CV41">
        <v>6</v>
      </c>
      <c r="CW41">
        <v>173</v>
      </c>
      <c r="CX41">
        <v>4.4151656844017504</v>
      </c>
      <c r="CY41">
        <v>2.5883850148051302</v>
      </c>
      <c r="CZ41">
        <v>4.3497982458719502</v>
      </c>
      <c r="DA41">
        <v>7.4135052602559495E-2</v>
      </c>
      <c r="DB41">
        <v>2.8571428571428501E-2</v>
      </c>
      <c r="DC41">
        <v>1.3385335957845199</v>
      </c>
      <c r="DD41">
        <v>4.4465123577872001</v>
      </c>
      <c r="DE41">
        <v>1045.23746106312</v>
      </c>
      <c r="DF41">
        <v>6.2811616113313901E-2</v>
      </c>
      <c r="DG41" s="2">
        <v>3.2960123252669002E-4</v>
      </c>
      <c r="DH41">
        <v>8283</v>
      </c>
      <c r="DI41">
        <v>101</v>
      </c>
      <c r="DJ41">
        <v>-8053.5</v>
      </c>
      <c r="DK41">
        <v>109</v>
      </c>
      <c r="DL41">
        <v>0.53277685546874998</v>
      </c>
      <c r="DM41">
        <v>139.55322265625</v>
      </c>
      <c r="DN41">
        <v>1.0001249389648399</v>
      </c>
      <c r="DO41">
        <v>115.62858581542901</v>
      </c>
      <c r="DP41">
        <v>47.338981628417898</v>
      </c>
      <c r="DQ41" t="s">
        <v>901</v>
      </c>
      <c r="DR41" t="s">
        <v>902</v>
      </c>
      <c r="DS41" t="s">
        <v>903</v>
      </c>
      <c r="DT41" t="s">
        <v>904</v>
      </c>
      <c r="DU41" t="s">
        <v>898</v>
      </c>
      <c r="DV41" t="s">
        <v>899</v>
      </c>
      <c r="DW41" t="s">
        <v>905</v>
      </c>
      <c r="DX41">
        <v>1.2054692316948201E-2</v>
      </c>
      <c r="DY41">
        <v>104.883208923398</v>
      </c>
      <c r="DZ41">
        <v>50.565069505726498</v>
      </c>
      <c r="EA41">
        <v>8.4216906625682899</v>
      </c>
      <c r="EB41">
        <v>2.5351815036363101</v>
      </c>
      <c r="EC41">
        <v>3.7887903839299799</v>
      </c>
      <c r="ED41">
        <v>21.9958658222378</v>
      </c>
      <c r="EE41">
        <v>8.42169066256929</v>
      </c>
      <c r="EF41">
        <v>209.766417846797</v>
      </c>
      <c r="EG41">
        <v>165.90947962730701</v>
      </c>
      <c r="EH41">
        <v>8.4216906625681904</v>
      </c>
      <c r="EI41">
        <v>5.3720619417161001E-3</v>
      </c>
      <c r="EJ41">
        <v>36.350798395598602</v>
      </c>
      <c r="EK41">
        <v>3.7887903839299799</v>
      </c>
      <c r="EL41">
        <v>0.351264079671401</v>
      </c>
      <c r="EM41">
        <v>0.97929810381939297</v>
      </c>
      <c r="EN41">
        <v>0.26336085493198003</v>
      </c>
      <c r="EO41">
        <v>0.99883003940345005</v>
      </c>
      <c r="EP41">
        <v>7.2352993529462603E-2</v>
      </c>
      <c r="EQ41">
        <v>0.64055425265972199</v>
      </c>
      <c r="ER41">
        <v>11032.877184377199</v>
      </c>
      <c r="ES41">
        <v>165.90947962730701</v>
      </c>
      <c r="ET41">
        <v>-8513.3947495238699</v>
      </c>
      <c r="EU41">
        <v>1067638.6224025299</v>
      </c>
      <c r="EV41">
        <v>0.92785320091523604</v>
      </c>
      <c r="EW41">
        <v>1.34724699846463</v>
      </c>
      <c r="EX41" s="2">
        <v>1.78845828207589E-4</v>
      </c>
      <c r="EY41">
        <v>10971.3948488076</v>
      </c>
      <c r="EZ41" s="2">
        <v>1.58762276051903E-4</v>
      </c>
      <c r="FA41">
        <v>10169.381313904099</v>
      </c>
      <c r="FB41" s="2">
        <v>2.9440617802897398E-4</v>
      </c>
      <c r="FC41">
        <v>14830.992120568601</v>
      </c>
      <c r="FD41">
        <v>31958.3370495132</v>
      </c>
      <c r="FE41">
        <v>433523.67260806501</v>
      </c>
      <c r="FF41">
        <v>0.90436738582554999</v>
      </c>
      <c r="FG41" s="2">
        <v>1.49385190419251E-5</v>
      </c>
      <c r="FH41">
        <v>1.3969189971375799E-2</v>
      </c>
      <c r="FI41">
        <v>2.4450519571001301</v>
      </c>
      <c r="FJ41">
        <v>29691.522523821201</v>
      </c>
      <c r="FK41">
        <v>0.57390229003761895</v>
      </c>
      <c r="FL41">
        <v>0.65519387752170799</v>
      </c>
      <c r="FM41">
        <v>12160.219821193101</v>
      </c>
      <c r="FN41" s="2">
        <v>1.5220995804499801E-4</v>
      </c>
      <c r="FO41">
        <v>10602.322703801299</v>
      </c>
      <c r="FP41" s="2">
        <v>9.3709440580157894E-5</v>
      </c>
      <c r="FQ41">
        <v>6810.8351323931402</v>
      </c>
      <c r="FR41">
        <v>1.1031643931063599</v>
      </c>
      <c r="FS41" s="2">
        <v>135036328.437397</v>
      </c>
      <c r="FT41">
        <v>5341.3537821357904</v>
      </c>
      <c r="FU41">
        <v>3.6677061237473801E-2</v>
      </c>
      <c r="FV41">
        <v>-1118.48255877829</v>
      </c>
      <c r="FW41">
        <v>-7.6801977503453203E-3</v>
      </c>
      <c r="FX41">
        <v>0.25188047300230498</v>
      </c>
      <c r="FY41">
        <v>159.616533502279</v>
      </c>
      <c r="FZ41">
        <v>12144.457832935501</v>
      </c>
      <c r="GA41">
        <v>7.3597272731435401</v>
      </c>
    </row>
    <row r="42" spans="1:183" x14ac:dyDescent="0.2">
      <c r="A42" t="s">
        <v>2480</v>
      </c>
      <c r="B42" t="s">
        <v>182</v>
      </c>
      <c r="C42" t="s">
        <v>906</v>
      </c>
      <c r="D42" s="1">
        <v>43858</v>
      </c>
      <c r="E42" t="s">
        <v>720</v>
      </c>
      <c r="F42" t="s">
        <v>185</v>
      </c>
      <c r="G42" t="s">
        <v>186</v>
      </c>
      <c r="H42">
        <v>1</v>
      </c>
      <c r="I42">
        <v>400</v>
      </c>
      <c r="J42">
        <v>10</v>
      </c>
      <c r="K42" t="s">
        <v>187</v>
      </c>
      <c r="L42" t="s">
        <v>907</v>
      </c>
      <c r="M42">
        <v>1.5</v>
      </c>
      <c r="N42">
        <v>0.55859375</v>
      </c>
      <c r="O42">
        <v>0.55859375</v>
      </c>
      <c r="P42" t="s">
        <v>908</v>
      </c>
      <c r="Q42">
        <v>0</v>
      </c>
      <c r="R42" t="s">
        <v>194</v>
      </c>
      <c r="T42">
        <v>74593.266758918704</v>
      </c>
      <c r="U42">
        <v>74684.2811279296</v>
      </c>
      <c r="V42">
        <v>159568</v>
      </c>
      <c r="W42">
        <v>22259.6302999617</v>
      </c>
      <c r="X42">
        <v>0.29841339932065902</v>
      </c>
      <c r="Y42">
        <v>44.5222694218144</v>
      </c>
      <c r="Z42">
        <v>1.2672076039127501E-2</v>
      </c>
      <c r="AA42">
        <v>5.7055535607421597E-2</v>
      </c>
      <c r="AB42">
        <v>2.59757086475169</v>
      </c>
      <c r="AC42">
        <v>0.38497506018785299</v>
      </c>
      <c r="AD42">
        <v>1.59757086475169</v>
      </c>
      <c r="AE42" t="s">
        <v>909</v>
      </c>
      <c r="AF42" t="s">
        <v>910</v>
      </c>
      <c r="AG42" t="s">
        <v>911</v>
      </c>
      <c r="AH42" t="s">
        <v>193</v>
      </c>
      <c r="AI42" t="s">
        <v>193</v>
      </c>
      <c r="AJ42" t="s">
        <v>193</v>
      </c>
      <c r="AK42" t="s">
        <v>193</v>
      </c>
      <c r="AL42" t="s">
        <v>193</v>
      </c>
      <c r="AM42" t="s">
        <v>193</v>
      </c>
      <c r="AN42" t="s">
        <v>193</v>
      </c>
      <c r="AO42" t="s">
        <v>193</v>
      </c>
      <c r="AP42" t="s">
        <v>193</v>
      </c>
      <c r="AQ42">
        <v>0.31633833618166102</v>
      </c>
      <c r="AR42" t="s">
        <v>193</v>
      </c>
      <c r="AS42" t="s">
        <v>193</v>
      </c>
      <c r="AT42">
        <v>97.435537850698395</v>
      </c>
      <c r="AU42" t="s">
        <v>193</v>
      </c>
      <c r="AV42" s="2">
        <v>78323489.191088095</v>
      </c>
      <c r="AW42">
        <v>45.007495237140901</v>
      </c>
      <c r="AX42">
        <v>8176.2745853535898</v>
      </c>
      <c r="AY42">
        <v>-1.6690490944974901</v>
      </c>
      <c r="AZ42">
        <v>54.590817903387403</v>
      </c>
      <c r="BA42">
        <v>54</v>
      </c>
      <c r="BB42">
        <v>-1005</v>
      </c>
      <c r="BC42">
        <v>-12</v>
      </c>
      <c r="BD42">
        <v>25</v>
      </c>
      <c r="BE42">
        <v>54</v>
      </c>
      <c r="BF42">
        <v>81</v>
      </c>
      <c r="BG42">
        <v>106</v>
      </c>
      <c r="BH42">
        <v>90.422754798521794</v>
      </c>
      <c r="BI42">
        <v>2860</v>
      </c>
      <c r="BJ42">
        <v>56</v>
      </c>
      <c r="BK42">
        <v>3865</v>
      </c>
      <c r="BL42">
        <v>46.724249365172</v>
      </c>
      <c r="BM42">
        <v>23.7286033821864</v>
      </c>
      <c r="BN42">
        <v>45.913717035997102</v>
      </c>
      <c r="BO42">
        <v>2.0090599203997299</v>
      </c>
      <c r="BP42">
        <v>0.52830188679245205</v>
      </c>
      <c r="BQ42" t="s">
        <v>194</v>
      </c>
      <c r="BR42" s="2">
        <v>1627904632</v>
      </c>
      <c r="BS42">
        <v>101.00469896432899</v>
      </c>
      <c r="BT42">
        <v>3361.3524271545898</v>
      </c>
      <c r="BU42">
        <v>88773.547271728501</v>
      </c>
      <c r="BV42">
        <v>0.51999298095703095</v>
      </c>
      <c r="BW42">
        <v>100.15841674804599</v>
      </c>
      <c r="BX42">
        <v>1.0376457519531199</v>
      </c>
      <c r="BY42">
        <v>92.246726989746094</v>
      </c>
      <c r="BZ42">
        <v>36.459220886230398</v>
      </c>
      <c r="CA42" t="s">
        <v>912</v>
      </c>
      <c r="CB42" t="s">
        <v>913</v>
      </c>
      <c r="CC42" t="s">
        <v>914</v>
      </c>
      <c r="CD42" t="s">
        <v>915</v>
      </c>
      <c r="CE42" t="s">
        <v>916</v>
      </c>
      <c r="CF42" t="s">
        <v>917</v>
      </c>
      <c r="CG42" t="s">
        <v>918</v>
      </c>
      <c r="CH42">
        <v>105.051144339717</v>
      </c>
      <c r="CI42">
        <v>81.876476555723897</v>
      </c>
      <c r="CJ42">
        <v>-1.66499286864997</v>
      </c>
      <c r="CK42">
        <v>54.486492313442298</v>
      </c>
      <c r="CL42">
        <v>106</v>
      </c>
      <c r="CM42">
        <v>1</v>
      </c>
      <c r="CN42">
        <v>99</v>
      </c>
      <c r="CO42">
        <v>103</v>
      </c>
      <c r="CP42">
        <v>106</v>
      </c>
      <c r="CQ42">
        <v>109</v>
      </c>
      <c r="CR42">
        <v>111</v>
      </c>
      <c r="CS42">
        <v>9.04856212642229</v>
      </c>
      <c r="CT42">
        <v>387</v>
      </c>
      <c r="CU42">
        <v>106</v>
      </c>
      <c r="CV42">
        <v>6</v>
      </c>
      <c r="CW42">
        <v>386</v>
      </c>
      <c r="CX42">
        <v>4.6709286124204796</v>
      </c>
      <c r="CY42">
        <v>2.5061227742760499</v>
      </c>
      <c r="CZ42">
        <v>4.5848603730071096</v>
      </c>
      <c r="DA42">
        <v>8.6134826834068506E-2</v>
      </c>
      <c r="DB42">
        <v>2.83018867924528E-2</v>
      </c>
      <c r="DC42">
        <v>1.3482152698019101</v>
      </c>
      <c r="DD42">
        <v>4.4786741827111198</v>
      </c>
      <c r="DE42">
        <v>1050.51144339759</v>
      </c>
      <c r="DF42">
        <v>6.3923666482979397E-2</v>
      </c>
      <c r="DG42" s="2">
        <v>6.3293328858393498E-4</v>
      </c>
      <c r="DH42">
        <v>2433.5</v>
      </c>
      <c r="DI42">
        <v>103</v>
      </c>
      <c r="DJ42">
        <v>-2583</v>
      </c>
      <c r="DK42">
        <v>110</v>
      </c>
      <c r="DL42">
        <v>0.51999298095703095</v>
      </c>
      <c r="DM42">
        <v>100.15841674804599</v>
      </c>
      <c r="DN42">
        <v>1.0376457519531199</v>
      </c>
      <c r="DO42">
        <v>92.246726989746094</v>
      </c>
      <c r="DP42">
        <v>36.459220886230398</v>
      </c>
      <c r="DQ42" t="s">
        <v>919</v>
      </c>
      <c r="DR42" t="s">
        <v>920</v>
      </c>
      <c r="DS42" t="s">
        <v>921</v>
      </c>
      <c r="DT42" t="s">
        <v>922</v>
      </c>
      <c r="DU42" t="s">
        <v>916</v>
      </c>
      <c r="DV42" t="s">
        <v>917</v>
      </c>
      <c r="DW42" t="s">
        <v>923</v>
      </c>
      <c r="DX42">
        <v>1.52000857283327E-2</v>
      </c>
      <c r="DY42">
        <v>105.471028993084</v>
      </c>
      <c r="DZ42">
        <v>54.6064857413811</v>
      </c>
      <c r="EA42">
        <v>8.2388494330752007</v>
      </c>
      <c r="EB42">
        <v>2.4801408091141401</v>
      </c>
      <c r="EC42">
        <v>3.5665942750490398</v>
      </c>
      <c r="ED42">
        <v>27.776595681860499</v>
      </c>
      <c r="EE42">
        <v>8.2388494330756004</v>
      </c>
      <c r="EF42">
        <v>210.942057986169</v>
      </c>
      <c r="EG42">
        <v>177.928752560844</v>
      </c>
      <c r="EH42">
        <v>8.2388494330753197</v>
      </c>
      <c r="EI42">
        <v>6.4433309166471702E-3</v>
      </c>
      <c r="EJ42">
        <v>40.497190404673702</v>
      </c>
      <c r="EK42">
        <v>3.5665942750490398</v>
      </c>
      <c r="EL42">
        <v>0.37845866146719098</v>
      </c>
      <c r="EM42">
        <v>0.99103568786090801</v>
      </c>
      <c r="EN42">
        <v>0.29553400714085698</v>
      </c>
      <c r="EO42">
        <v>0.99973229133626695</v>
      </c>
      <c r="EP42">
        <v>1.14847613841933E-2</v>
      </c>
      <c r="EQ42">
        <v>0.62919065514970896</v>
      </c>
      <c r="ER42">
        <v>11158.495847399199</v>
      </c>
      <c r="ES42">
        <v>177.928752560844</v>
      </c>
      <c r="ET42">
        <v>-6356.0376652327104</v>
      </c>
      <c r="EU42">
        <v>1626376.88765996</v>
      </c>
      <c r="EV42">
        <v>0.91894948536907906</v>
      </c>
      <c r="EW42">
        <v>1.40782615133098</v>
      </c>
      <c r="EX42" s="2">
        <v>1.3725416472358399E-4</v>
      </c>
      <c r="EY42">
        <v>11098.409666798299</v>
      </c>
      <c r="EZ42" s="2">
        <v>1.2899916806318601E-4</v>
      </c>
      <c r="FA42">
        <v>10184.8648819683</v>
      </c>
      <c r="FB42" s="2">
        <v>1.80237514862839E-4</v>
      </c>
      <c r="FC42">
        <v>15697.7235319555</v>
      </c>
      <c r="FD42">
        <v>8773.3599470162098</v>
      </c>
      <c r="FE42">
        <v>115609.00916243299</v>
      </c>
      <c r="FF42">
        <v>0.89221233869910299</v>
      </c>
      <c r="FG42" s="2">
        <v>5.6736226147998298E-5</v>
      </c>
      <c r="FH42">
        <v>8.0888303523602694E-3</v>
      </c>
      <c r="FI42">
        <v>0.40293173270696298</v>
      </c>
      <c r="FJ42">
        <v>69649.753352571206</v>
      </c>
      <c r="FK42">
        <v>7.3945234042836603</v>
      </c>
      <c r="FL42">
        <v>0.67396786031429701</v>
      </c>
      <c r="FM42">
        <v>10732.6532763302</v>
      </c>
      <c r="FN42" s="2">
        <v>1.9182148532862099E-4</v>
      </c>
      <c r="FO42">
        <v>10684.190664408001</v>
      </c>
      <c r="FP42" s="2">
        <v>1.12880391977144E-4</v>
      </c>
      <c r="FQ42">
        <v>7078.6979551382701</v>
      </c>
      <c r="FR42">
        <v>0.94592488584717704</v>
      </c>
      <c r="FS42" s="2">
        <v>121930278.177973</v>
      </c>
      <c r="FT42">
        <v>1187.85924013874</v>
      </c>
      <c r="FU42">
        <v>3.1939427284524299E-2</v>
      </c>
      <c r="FV42">
        <v>15615.741792369099</v>
      </c>
      <c r="FW42">
        <v>0.41987958894273097</v>
      </c>
      <c r="FX42">
        <v>0.23307304722751401</v>
      </c>
      <c r="FY42">
        <v>270.814349387493</v>
      </c>
      <c r="FZ42">
        <v>10714.2448827347</v>
      </c>
      <c r="GA42">
        <v>7.5170205897910503</v>
      </c>
    </row>
    <row r="43" spans="1:183" x14ac:dyDescent="0.2">
      <c r="A43" t="s">
        <v>2481</v>
      </c>
      <c r="B43" t="s">
        <v>182</v>
      </c>
      <c r="C43" t="s">
        <v>924</v>
      </c>
      <c r="D43" s="1">
        <v>43655</v>
      </c>
      <c r="E43" t="s">
        <v>925</v>
      </c>
      <c r="F43" t="s">
        <v>185</v>
      </c>
      <c r="G43" t="s">
        <v>186</v>
      </c>
      <c r="H43">
        <v>1</v>
      </c>
      <c r="I43">
        <v>400</v>
      </c>
      <c r="J43">
        <v>10</v>
      </c>
      <c r="K43" t="s">
        <v>187</v>
      </c>
      <c r="L43" t="s">
        <v>926</v>
      </c>
      <c r="M43">
        <v>5</v>
      </c>
      <c r="N43">
        <v>0.697265625</v>
      </c>
      <c r="O43">
        <v>0.697265625</v>
      </c>
      <c r="P43" t="s">
        <v>927</v>
      </c>
      <c r="Q43">
        <v>0</v>
      </c>
      <c r="R43" t="s">
        <v>194</v>
      </c>
      <c r="T43">
        <v>53565.9242463111</v>
      </c>
      <c r="U43">
        <v>53778.729000091502</v>
      </c>
      <c r="V43">
        <v>22123</v>
      </c>
      <c r="W43">
        <v>12204.079024762799</v>
      </c>
      <c r="X43">
        <v>0.22783288436590801</v>
      </c>
      <c r="Y43">
        <v>25.169171148803802</v>
      </c>
      <c r="Z43">
        <v>2.24158984104873E-2</v>
      </c>
      <c r="AA43">
        <v>0.17853137325782001</v>
      </c>
      <c r="AB43">
        <v>1.7759408003642301</v>
      </c>
      <c r="AC43">
        <v>0.56308183234199405</v>
      </c>
      <c r="AD43">
        <v>0.77594080036422897</v>
      </c>
      <c r="AE43" t="s">
        <v>928</v>
      </c>
      <c r="AF43" t="s">
        <v>929</v>
      </c>
      <c r="AG43" t="s">
        <v>930</v>
      </c>
      <c r="AH43" t="s">
        <v>193</v>
      </c>
      <c r="AI43" t="s">
        <v>193</v>
      </c>
      <c r="AJ43" t="s">
        <v>193</v>
      </c>
      <c r="AK43" t="s">
        <v>193</v>
      </c>
      <c r="AL43" t="s">
        <v>193</v>
      </c>
      <c r="AM43" t="s">
        <v>193</v>
      </c>
      <c r="AN43" t="s">
        <v>193</v>
      </c>
      <c r="AO43" t="s">
        <v>193</v>
      </c>
      <c r="AP43" t="s">
        <v>193</v>
      </c>
      <c r="AQ43">
        <v>0.121687395667955</v>
      </c>
      <c r="AR43" t="s">
        <v>193</v>
      </c>
      <c r="AS43" t="s">
        <v>193</v>
      </c>
      <c r="AT43">
        <v>81.287311525931401</v>
      </c>
      <c r="AU43" t="s">
        <v>193</v>
      </c>
      <c r="AV43" s="2">
        <v>35383417.623425499</v>
      </c>
      <c r="AW43">
        <v>44.558332956651597</v>
      </c>
      <c r="AX43">
        <v>2085.34192791755</v>
      </c>
      <c r="AY43">
        <v>-3.6529356947490301</v>
      </c>
      <c r="AZ43">
        <v>28.800499297596598</v>
      </c>
      <c r="BA43">
        <v>50</v>
      </c>
      <c r="BB43">
        <v>-616</v>
      </c>
      <c r="BC43">
        <v>4</v>
      </c>
      <c r="BD43">
        <v>31</v>
      </c>
      <c r="BE43">
        <v>50</v>
      </c>
      <c r="BF43">
        <v>67</v>
      </c>
      <c r="BG43">
        <v>83</v>
      </c>
      <c r="BH43">
        <v>45.665544209146901</v>
      </c>
      <c r="BI43">
        <v>312</v>
      </c>
      <c r="BJ43">
        <v>36</v>
      </c>
      <c r="BK43">
        <v>928</v>
      </c>
      <c r="BL43">
        <v>27.6226586123746</v>
      </c>
      <c r="BM43">
        <v>15.5352667488877</v>
      </c>
      <c r="BN43">
        <v>27.104913438502901</v>
      </c>
      <c r="BO43">
        <v>1.02484857890829</v>
      </c>
      <c r="BP43">
        <v>0.36734693877551</v>
      </c>
      <c r="BQ43" t="s">
        <v>194</v>
      </c>
      <c r="BR43" s="2">
        <v>90058020</v>
      </c>
      <c r="BS43">
        <v>63.8027190940428</v>
      </c>
      <c r="BT43">
        <v>2396.2905127716099</v>
      </c>
      <c r="BU43">
        <v>37915.507049560503</v>
      </c>
      <c r="BV43">
        <v>0.47402487182617098</v>
      </c>
      <c r="BW43">
        <v>91.851280212402301</v>
      </c>
      <c r="BX43">
        <v>1.0185457153320301</v>
      </c>
      <c r="BY43">
        <v>86.673034667968693</v>
      </c>
      <c r="BZ43" t="s">
        <v>194</v>
      </c>
      <c r="CA43" t="s">
        <v>931</v>
      </c>
      <c r="CB43" t="s">
        <v>932</v>
      </c>
      <c r="CC43" t="s">
        <v>933</v>
      </c>
      <c r="CD43" t="s">
        <v>934</v>
      </c>
      <c r="CE43" t="s">
        <v>935</v>
      </c>
      <c r="CF43" t="s">
        <v>936</v>
      </c>
      <c r="CG43" t="s">
        <v>937</v>
      </c>
      <c r="CH43">
        <v>105.00348054061401</v>
      </c>
      <c r="CI43">
        <v>20.928207385904901</v>
      </c>
      <c r="CJ43">
        <v>-3.6318565098637698</v>
      </c>
      <c r="CK43">
        <v>28.560626611406501</v>
      </c>
      <c r="CL43">
        <v>106</v>
      </c>
      <c r="CM43">
        <v>39</v>
      </c>
      <c r="CN43">
        <v>101</v>
      </c>
      <c r="CO43">
        <v>104</v>
      </c>
      <c r="CP43">
        <v>106</v>
      </c>
      <c r="CQ43">
        <v>107</v>
      </c>
      <c r="CR43">
        <v>109</v>
      </c>
      <c r="CS43">
        <v>4.5747357722501203</v>
      </c>
      <c r="CT43">
        <v>132</v>
      </c>
      <c r="CU43">
        <v>106</v>
      </c>
      <c r="CV43">
        <v>3</v>
      </c>
      <c r="CW43">
        <v>93</v>
      </c>
      <c r="CX43">
        <v>2.7513782547185599</v>
      </c>
      <c r="CY43">
        <v>1.6905844262635801</v>
      </c>
      <c r="CZ43">
        <v>2.7221443746327298</v>
      </c>
      <c r="DA43">
        <v>4.3567467941985599E-2</v>
      </c>
      <c r="DB43">
        <v>1.42180094786729E-2</v>
      </c>
      <c r="DC43">
        <v>1.14173855230594</v>
      </c>
      <c r="DD43">
        <v>3.7927733739211398</v>
      </c>
      <c r="DE43">
        <v>1050.0348054061001</v>
      </c>
      <c r="DF43">
        <v>9.8560664380335103E-2</v>
      </c>
      <c r="DG43">
        <v>2.1107159962724998E-3</v>
      </c>
      <c r="DH43">
        <v>808</v>
      </c>
      <c r="DI43">
        <v>104</v>
      </c>
      <c r="DJ43">
        <v>-841.5</v>
      </c>
      <c r="DK43">
        <v>108</v>
      </c>
      <c r="DL43">
        <v>0.47402487182617098</v>
      </c>
      <c r="DM43">
        <v>91.851280212402301</v>
      </c>
      <c r="DN43">
        <v>1.0185457153320301</v>
      </c>
      <c r="DO43">
        <v>86.673034667968693</v>
      </c>
      <c r="DP43" t="s">
        <v>194</v>
      </c>
      <c r="DQ43" t="s">
        <v>938</v>
      </c>
      <c r="DR43" t="s">
        <v>939</v>
      </c>
      <c r="DS43" t="s">
        <v>940</v>
      </c>
      <c r="DT43" t="s">
        <v>941</v>
      </c>
      <c r="DU43" t="s">
        <v>935</v>
      </c>
      <c r="DV43" t="s">
        <v>936</v>
      </c>
      <c r="DW43" t="s">
        <v>942</v>
      </c>
      <c r="DX43">
        <v>3.97812909567496E-2</v>
      </c>
      <c r="DY43">
        <v>105.418588220838</v>
      </c>
      <c r="DZ43">
        <v>13.9291396517027</v>
      </c>
      <c r="EA43">
        <v>6.8723775589005101</v>
      </c>
      <c r="EB43">
        <v>2.06879178675704</v>
      </c>
      <c r="EC43">
        <v>2.1338425622542601</v>
      </c>
      <c r="ED43">
        <v>9.2619559260652498</v>
      </c>
      <c r="EE43">
        <v>6.8723775589005003</v>
      </c>
      <c r="EF43">
        <v>210.83717644167601</v>
      </c>
      <c r="EG43">
        <v>13.411089370095899</v>
      </c>
      <c r="EH43">
        <v>0.12932888742759599</v>
      </c>
      <c r="EI43">
        <v>1.6253802430611398E-2</v>
      </c>
      <c r="EJ43">
        <v>13.815240006552999</v>
      </c>
      <c r="EK43">
        <v>2.1338425622542601</v>
      </c>
      <c r="EL43">
        <v>0.48420861970659201</v>
      </c>
      <c r="EM43">
        <v>0.97864227400595505</v>
      </c>
      <c r="EN43">
        <v>0.42222363952665798</v>
      </c>
      <c r="EO43">
        <v>0.99851504917171696</v>
      </c>
      <c r="EP43" s="2">
        <v>4.5941816113237303E-8</v>
      </c>
      <c r="EQ43">
        <v>0.50408853841650003</v>
      </c>
      <c r="ER43">
        <v>11120.1002621231</v>
      </c>
      <c r="ES43">
        <v>13.411089370095899</v>
      </c>
      <c r="ET43">
        <v>-761.68193099596101</v>
      </c>
      <c r="EU43">
        <v>47358.054827155698</v>
      </c>
      <c r="EV43">
        <v>0.87255343490480297</v>
      </c>
      <c r="EW43">
        <v>1.7648145082795901</v>
      </c>
      <c r="EX43" s="2">
        <v>9.1818018165944397E-5</v>
      </c>
      <c r="EY43">
        <v>11016.5490874763</v>
      </c>
      <c r="EZ43" s="2">
        <v>8.0394763590742695E-5</v>
      </c>
      <c r="FA43">
        <v>9591.1760537917398</v>
      </c>
      <c r="FB43" s="2">
        <v>1.6029114452053599E-4</v>
      </c>
      <c r="FC43">
        <v>19577.735837213699</v>
      </c>
      <c r="FD43">
        <v>1705.2832397351101</v>
      </c>
      <c r="FE43">
        <v>13404.917061587001</v>
      </c>
      <c r="FF43">
        <v>0.83103209677363199</v>
      </c>
      <c r="FG43" s="2">
        <v>4.1671403477923699E-4</v>
      </c>
      <c r="FH43">
        <v>1.1247844272748501E-2</v>
      </c>
      <c r="FI43">
        <v>0.168431386158678</v>
      </c>
      <c r="FJ43">
        <v>5329.7600993866599</v>
      </c>
      <c r="FK43">
        <v>3.66189472417582</v>
      </c>
      <c r="FL43">
        <v>0.63607101889809703</v>
      </c>
      <c r="FM43">
        <v>8625.4279962836699</v>
      </c>
      <c r="FN43" s="2">
        <v>9.9931122726967805E-5</v>
      </c>
      <c r="FO43">
        <v>10452.218953236201</v>
      </c>
      <c r="FP43" s="2">
        <v>6.6087743356843304E-5</v>
      </c>
      <c r="FQ43">
        <v>6502.1884119791803</v>
      </c>
      <c r="FR43">
        <v>0.76879668119671896</v>
      </c>
      <c r="FS43" s="2">
        <v>96820609.065345302</v>
      </c>
      <c r="FT43">
        <v>149.376587178693</v>
      </c>
      <c r="FU43">
        <v>4.6260943691140602E-2</v>
      </c>
      <c r="FV43">
        <v>1211.33508826262</v>
      </c>
      <c r="FW43">
        <v>0.37514248629997499</v>
      </c>
      <c r="FX43">
        <v>0.145956696650544</v>
      </c>
      <c r="FY43">
        <v>83.505180147281393</v>
      </c>
      <c r="FZ43">
        <v>8578.4870382904392</v>
      </c>
      <c r="GA43">
        <v>6.92068281354753</v>
      </c>
    </row>
    <row r="44" spans="1:183" x14ac:dyDescent="0.2">
      <c r="A44" t="s">
        <v>2482</v>
      </c>
      <c r="B44" t="s">
        <v>182</v>
      </c>
      <c r="C44" t="s">
        <v>943</v>
      </c>
      <c r="D44" s="1">
        <v>42194</v>
      </c>
      <c r="E44" t="s">
        <v>381</v>
      </c>
      <c r="F44" t="s">
        <v>185</v>
      </c>
      <c r="G44" t="s">
        <v>186</v>
      </c>
      <c r="H44">
        <v>1</v>
      </c>
      <c r="I44">
        <v>400</v>
      </c>
      <c r="J44">
        <v>10</v>
      </c>
      <c r="K44" t="s">
        <v>187</v>
      </c>
      <c r="L44" t="s">
        <v>944</v>
      </c>
      <c r="M44">
        <v>5</v>
      </c>
      <c r="N44">
        <v>0.7265625</v>
      </c>
      <c r="O44">
        <v>0.7265625</v>
      </c>
      <c r="P44" t="s">
        <v>945</v>
      </c>
      <c r="Q44">
        <v>0</v>
      </c>
      <c r="R44" t="s">
        <v>194</v>
      </c>
      <c r="T44">
        <v>6696.6534805297797</v>
      </c>
      <c r="U44">
        <v>6770.2285766601499</v>
      </c>
      <c r="V44">
        <v>2565</v>
      </c>
      <c r="W44">
        <v>2286.5232301506198</v>
      </c>
      <c r="X44">
        <v>0.341442667863669</v>
      </c>
      <c r="Y44">
        <v>16.3269702015265</v>
      </c>
      <c r="Z44">
        <v>3.4555681585981303E-2</v>
      </c>
      <c r="AA44">
        <v>0.42426887576764999</v>
      </c>
      <c r="AB44">
        <v>1.3308208885269801</v>
      </c>
      <c r="AC44">
        <v>0.75141591826594201</v>
      </c>
      <c r="AD44">
        <v>0.33082088852698199</v>
      </c>
      <c r="AE44" t="s">
        <v>946</v>
      </c>
      <c r="AF44" t="s">
        <v>947</v>
      </c>
      <c r="AG44" t="s">
        <v>948</v>
      </c>
      <c r="AH44" t="s">
        <v>193</v>
      </c>
      <c r="AI44" t="s">
        <v>193</v>
      </c>
      <c r="AJ44" t="s">
        <v>193</v>
      </c>
      <c r="AK44" t="s">
        <v>193</v>
      </c>
      <c r="AL44" t="s">
        <v>193</v>
      </c>
      <c r="AM44" t="s">
        <v>193</v>
      </c>
      <c r="AN44" t="s">
        <v>193</v>
      </c>
      <c r="AO44" t="s">
        <v>193</v>
      </c>
      <c r="AP44" t="s">
        <v>193</v>
      </c>
      <c r="AQ44">
        <v>9.4339467822979403E-2</v>
      </c>
      <c r="AR44" t="s">
        <v>193</v>
      </c>
      <c r="AS44" t="s">
        <v>193</v>
      </c>
      <c r="AT44">
        <v>31.439868754338601</v>
      </c>
      <c r="AU44" t="s">
        <v>193</v>
      </c>
      <c r="AV44">
        <v>1915242.8954315099</v>
      </c>
      <c r="AW44">
        <v>-14.999999999999901</v>
      </c>
      <c r="AX44">
        <v>1540.3578947368401</v>
      </c>
      <c r="AY44">
        <v>-3.0463159952565899</v>
      </c>
      <c r="AZ44">
        <v>12.377427048773001</v>
      </c>
      <c r="BA44">
        <v>-5</v>
      </c>
      <c r="BB44">
        <v>-301</v>
      </c>
      <c r="BC44">
        <v>-53</v>
      </c>
      <c r="BD44">
        <v>-20</v>
      </c>
      <c r="BE44">
        <v>-5</v>
      </c>
      <c r="BF44">
        <v>5</v>
      </c>
      <c r="BG44">
        <v>14</v>
      </c>
      <c r="BH44">
        <v>39.247393476979298</v>
      </c>
      <c r="BI44">
        <v>54</v>
      </c>
      <c r="BJ44">
        <v>25</v>
      </c>
      <c r="BK44">
        <v>355</v>
      </c>
      <c r="BL44">
        <v>24.208966861598402</v>
      </c>
      <c r="BM44">
        <v>11.783141231699901</v>
      </c>
      <c r="BN44">
        <v>22.1941520467836</v>
      </c>
      <c r="BO44">
        <v>-2.6164928984653</v>
      </c>
      <c r="BP44">
        <v>-1.6666666666666601</v>
      </c>
      <c r="BQ44" t="s">
        <v>194</v>
      </c>
      <c r="BR44">
        <v>4528143</v>
      </c>
      <c r="BS44">
        <v>42.016162303771097</v>
      </c>
      <c r="BT44">
        <v>-101.553428649902</v>
      </c>
      <c r="BU44">
        <v>171.56524658203099</v>
      </c>
      <c r="BV44">
        <v>0.57804290771484301</v>
      </c>
      <c r="BW44">
        <v>9.2488260269165004</v>
      </c>
      <c r="BX44">
        <v>1.0214730834960899</v>
      </c>
      <c r="BY44">
        <v>6.89247322082519</v>
      </c>
      <c r="BZ44">
        <v>4.6315789222717196</v>
      </c>
      <c r="CA44" t="s">
        <v>949</v>
      </c>
      <c r="CB44" t="s">
        <v>950</v>
      </c>
      <c r="CC44" t="s">
        <v>951</v>
      </c>
      <c r="CD44" t="s">
        <v>952</v>
      </c>
      <c r="CE44" t="s">
        <v>953</v>
      </c>
      <c r="CF44" t="s">
        <v>954</v>
      </c>
      <c r="CG44" t="s">
        <v>955</v>
      </c>
      <c r="CH44">
        <v>99.040545808966499</v>
      </c>
      <c r="CI44">
        <v>15.5336386884471</v>
      </c>
      <c r="CJ44">
        <v>-3.02249747406827</v>
      </c>
      <c r="CK44">
        <v>12.28431740712</v>
      </c>
      <c r="CL44">
        <v>100</v>
      </c>
      <c r="CM44">
        <v>70</v>
      </c>
      <c r="CN44">
        <v>95</v>
      </c>
      <c r="CO44">
        <v>99</v>
      </c>
      <c r="CP44">
        <v>100</v>
      </c>
      <c r="CQ44">
        <v>101</v>
      </c>
      <c r="CR44">
        <v>102</v>
      </c>
      <c r="CS44">
        <v>3.94127373934456</v>
      </c>
      <c r="CT44">
        <v>106</v>
      </c>
      <c r="CU44">
        <v>100</v>
      </c>
      <c r="CV44">
        <v>2</v>
      </c>
      <c r="CW44">
        <v>36</v>
      </c>
      <c r="CX44">
        <v>2.4246603513332201</v>
      </c>
      <c r="CY44">
        <v>1.3389168755713601</v>
      </c>
      <c r="CZ44">
        <v>2.2148148148148099</v>
      </c>
      <c r="DA44">
        <v>3.9794547850600999E-2</v>
      </c>
    </row>
    <row r="45" spans="1:183" x14ac:dyDescent="0.2">
      <c r="A45" t="s">
        <v>2483</v>
      </c>
      <c r="B45" t="s">
        <v>182</v>
      </c>
      <c r="C45" t="s">
        <v>956</v>
      </c>
      <c r="D45" s="1">
        <v>42303</v>
      </c>
      <c r="E45" t="s">
        <v>362</v>
      </c>
      <c r="F45" t="s">
        <v>185</v>
      </c>
      <c r="G45" t="s">
        <v>186</v>
      </c>
      <c r="H45">
        <v>1</v>
      </c>
      <c r="I45">
        <v>400</v>
      </c>
      <c r="J45">
        <v>10</v>
      </c>
      <c r="K45" t="s">
        <v>187</v>
      </c>
      <c r="L45" t="s">
        <v>957</v>
      </c>
      <c r="M45">
        <v>5</v>
      </c>
      <c r="N45">
        <v>0.630859375</v>
      </c>
      <c r="O45">
        <v>0.630859375</v>
      </c>
      <c r="P45" t="s">
        <v>958</v>
      </c>
      <c r="Q45">
        <v>0</v>
      </c>
      <c r="R45" t="s">
        <v>194</v>
      </c>
      <c r="T45">
        <v>89735.755733648897</v>
      </c>
      <c r="U45">
        <v>90099.496116638096</v>
      </c>
      <c r="V45">
        <v>45278</v>
      </c>
      <c r="W45">
        <v>26442.939650693399</v>
      </c>
      <c r="X45">
        <v>0.29467562215869197</v>
      </c>
      <c r="Y45">
        <v>47.918043347798701</v>
      </c>
      <c r="Z45">
        <v>1.1774053031605501E-2</v>
      </c>
      <c r="AA45">
        <v>4.9255442081045701E-2</v>
      </c>
      <c r="AB45">
        <v>2.7280265512234698</v>
      </c>
      <c r="AC45">
        <v>0.366565347229306</v>
      </c>
      <c r="AD45">
        <v>1.7280265512234601</v>
      </c>
      <c r="AE45" t="s">
        <v>959</v>
      </c>
      <c r="AF45" t="s">
        <v>960</v>
      </c>
      <c r="AG45" t="s">
        <v>961</v>
      </c>
      <c r="AH45" t="s">
        <v>193</v>
      </c>
      <c r="AI45" t="s">
        <v>193</v>
      </c>
      <c r="AJ45" t="s">
        <v>193</v>
      </c>
      <c r="AK45" t="s">
        <v>193</v>
      </c>
      <c r="AL45" t="s">
        <v>193</v>
      </c>
      <c r="AM45" t="s">
        <v>193</v>
      </c>
      <c r="AN45" t="s">
        <v>193</v>
      </c>
      <c r="AO45" t="s">
        <v>193</v>
      </c>
      <c r="AP45" t="s">
        <v>193</v>
      </c>
      <c r="AQ45">
        <v>0.134812946442736</v>
      </c>
      <c r="AR45" t="s">
        <v>193</v>
      </c>
      <c r="AS45" t="s">
        <v>193</v>
      </c>
      <c r="AT45">
        <v>111.064766804366</v>
      </c>
      <c r="AU45" t="s">
        <v>193</v>
      </c>
      <c r="AV45" s="2">
        <v>97044233.405131504</v>
      </c>
      <c r="AW45">
        <v>106.44443217456499</v>
      </c>
      <c r="AX45">
        <v>5495.2912162937901</v>
      </c>
      <c r="AY45">
        <v>-3.5040747998314798</v>
      </c>
      <c r="AZ45">
        <v>25.1286158855177</v>
      </c>
      <c r="BA45">
        <v>123</v>
      </c>
      <c r="BB45">
        <v>-975</v>
      </c>
      <c r="BC45">
        <v>30</v>
      </c>
      <c r="BD45">
        <v>80</v>
      </c>
      <c r="BE45">
        <v>123</v>
      </c>
      <c r="BF45">
        <v>149</v>
      </c>
      <c r="BG45">
        <v>167</v>
      </c>
      <c r="BH45">
        <v>74.130231459869194</v>
      </c>
      <c r="BI45">
        <v>385</v>
      </c>
      <c r="BJ45">
        <v>69</v>
      </c>
      <c r="BK45">
        <v>1360</v>
      </c>
      <c r="BL45">
        <v>48.260259171197703</v>
      </c>
      <c r="BM45">
        <v>29.587738268500299</v>
      </c>
      <c r="BN45">
        <v>46.334444984319099</v>
      </c>
      <c r="BO45">
        <v>0.69642187896026198</v>
      </c>
      <c r="BP45">
        <v>0.30131004366812197</v>
      </c>
      <c r="BQ45" t="s">
        <v>194</v>
      </c>
      <c r="BR45" s="2">
        <v>761834423</v>
      </c>
      <c r="BS45">
        <v>129.713948198563</v>
      </c>
      <c r="BT45">
        <v>9590.5897033500405</v>
      </c>
      <c r="BU45">
        <v>76786.946334838794</v>
      </c>
      <c r="BV45">
        <v>0.50742901611328095</v>
      </c>
      <c r="BW45">
        <v>181.70588684082</v>
      </c>
      <c r="BX45">
        <v>0.96908996582031204</v>
      </c>
      <c r="BY45">
        <v>161.74948120117099</v>
      </c>
      <c r="BZ45">
        <v>33.704319000244098</v>
      </c>
      <c r="CA45" t="s">
        <v>962</v>
      </c>
      <c r="CB45" t="s">
        <v>963</v>
      </c>
      <c r="CC45" t="s">
        <v>964</v>
      </c>
      <c r="CD45" t="s">
        <v>965</v>
      </c>
      <c r="CE45" t="s">
        <v>966</v>
      </c>
      <c r="CF45" t="s">
        <v>967</v>
      </c>
      <c r="CG45" t="s">
        <v>968</v>
      </c>
      <c r="CH45">
        <v>111.196938910729</v>
      </c>
      <c r="CI45">
        <v>55.048343472173201</v>
      </c>
      <c r="CJ45">
        <v>-3.4966881427320202</v>
      </c>
      <c r="CK45">
        <v>25.064514308299898</v>
      </c>
      <c r="CL45">
        <v>113</v>
      </c>
      <c r="CM45">
        <v>3</v>
      </c>
      <c r="CN45">
        <v>104</v>
      </c>
      <c r="CO45">
        <v>109</v>
      </c>
      <c r="CP45">
        <v>113</v>
      </c>
      <c r="CQ45">
        <v>115</v>
      </c>
      <c r="CR45">
        <v>117</v>
      </c>
      <c r="CS45">
        <v>7.4194570874271601</v>
      </c>
      <c r="CT45">
        <v>139</v>
      </c>
      <c r="CU45">
        <v>115</v>
      </c>
      <c r="CV45">
        <v>6</v>
      </c>
      <c r="CW45">
        <v>136</v>
      </c>
      <c r="CX45">
        <v>4.8316646743097298</v>
      </c>
      <c r="CY45">
        <v>2.9732362706970501</v>
      </c>
      <c r="CZ45">
        <v>4.6299085648659304</v>
      </c>
      <c r="DA45">
        <v>6.6723573149649398E-2</v>
      </c>
      <c r="DB45">
        <v>2.6785714285714201E-2</v>
      </c>
      <c r="DC45">
        <v>1.3482091535056999</v>
      </c>
      <c r="DD45">
        <v>4.4786538648149001</v>
      </c>
      <c r="DE45">
        <v>1111.96938910732</v>
      </c>
      <c r="DF45">
        <v>5.9838845189163201E-2</v>
      </c>
      <c r="DG45">
        <v>1.14960325354337E-3</v>
      </c>
      <c r="DH45">
        <v>596</v>
      </c>
      <c r="DI45">
        <v>112</v>
      </c>
      <c r="DJ45">
        <v>-1150</v>
      </c>
      <c r="DK45">
        <v>117</v>
      </c>
      <c r="DL45">
        <v>0.50742901611328095</v>
      </c>
      <c r="DM45">
        <v>181.70588684082</v>
      </c>
      <c r="DN45">
        <v>0.96908996582031204</v>
      </c>
      <c r="DO45">
        <v>161.74948120117099</v>
      </c>
      <c r="DP45">
        <v>33.704319000244098</v>
      </c>
      <c r="DQ45" t="s">
        <v>969</v>
      </c>
      <c r="DR45" t="s">
        <v>970</v>
      </c>
      <c r="DS45" t="s">
        <v>971</v>
      </c>
      <c r="DT45" t="s">
        <v>972</v>
      </c>
      <c r="DU45" t="s">
        <v>966</v>
      </c>
      <c r="DV45" t="s">
        <v>967</v>
      </c>
      <c r="DW45" t="s">
        <v>973</v>
      </c>
      <c r="DX45">
        <v>2.2384187552024801E-2</v>
      </c>
      <c r="DY45">
        <v>112.06010699721</v>
      </c>
      <c r="DZ45">
        <v>46.105554774171203</v>
      </c>
      <c r="EA45">
        <v>8.3184967354489903</v>
      </c>
      <c r="EB45">
        <v>2.50411703620308</v>
      </c>
      <c r="EC45">
        <v>3.86920551369038</v>
      </c>
      <c r="ED45">
        <v>30.856105743581999</v>
      </c>
      <c r="EE45">
        <v>8.3184967354482797</v>
      </c>
      <c r="EF45">
        <v>224.12021399442099</v>
      </c>
      <c r="EG45">
        <v>138.58964621201</v>
      </c>
      <c r="EH45">
        <v>8.3184530426505194</v>
      </c>
      <c r="EI45">
        <v>6.7570939208801001E-3</v>
      </c>
      <c r="EJ45">
        <v>45.826857050753802</v>
      </c>
      <c r="EK45">
        <v>3.86920551369038</v>
      </c>
      <c r="EL45">
        <v>0.38729833364295502</v>
      </c>
      <c r="EM45">
        <v>0.97382728049724698</v>
      </c>
      <c r="EN45">
        <v>0.31211272887470798</v>
      </c>
      <c r="EO45">
        <v>0.99768923468193704</v>
      </c>
      <c r="EP45" s="2">
        <v>1.4254038126370201E-5</v>
      </c>
      <c r="EQ45">
        <v>0.50302238770123597</v>
      </c>
      <c r="ER45">
        <v>12580.6597064752</v>
      </c>
      <c r="ES45">
        <v>138.58964621201</v>
      </c>
      <c r="ET45">
        <v>-5500.6494286200696</v>
      </c>
      <c r="EU45">
        <v>539696.16546013998</v>
      </c>
      <c r="EV45">
        <v>0.92143885839958795</v>
      </c>
      <c r="EW45">
        <v>1.4357335742959301</v>
      </c>
      <c r="EX45" s="2">
        <v>8.6760702374246305E-5</v>
      </c>
      <c r="EY45">
        <v>12365.944029370699</v>
      </c>
      <c r="EZ45" s="2">
        <v>8.0601280601067606E-5</v>
      </c>
      <c r="FA45">
        <v>11357.013693401201</v>
      </c>
      <c r="FB45" s="2">
        <v>1.20852193201192E-4</v>
      </c>
      <c r="FC45">
        <v>17970.372087796899</v>
      </c>
      <c r="FD45">
        <v>2311.6385335104601</v>
      </c>
      <c r="FE45">
        <v>33459.493199140103</v>
      </c>
      <c r="FF45">
        <v>0.89402732520803097</v>
      </c>
      <c r="FG45" s="2">
        <v>1.79637473894738E-4</v>
      </c>
      <c r="FH45">
        <v>2.3353945244717102E-2</v>
      </c>
      <c r="FI45">
        <v>0.25008551692487402</v>
      </c>
      <c r="FJ45">
        <v>22312.912031982502</v>
      </c>
      <c r="FK45">
        <v>4.0478637196110201</v>
      </c>
      <c r="FL45">
        <v>0.642402209350315</v>
      </c>
      <c r="FM45">
        <v>1354.6256828498799</v>
      </c>
      <c r="FN45" s="2">
        <v>1.02103267646507E-4</v>
      </c>
      <c r="FO45">
        <v>11657.794337154701</v>
      </c>
      <c r="FP45" s="2">
        <v>7.2081433653481901E-5</v>
      </c>
      <c r="FQ45">
        <v>7309.8208971645699</v>
      </c>
      <c r="FR45">
        <v>0.102461955982889</v>
      </c>
      <c r="FS45" s="2">
        <v>17920813.007693999</v>
      </c>
      <c r="FT45">
        <v>537.02631376471402</v>
      </c>
      <c r="FU45">
        <v>4.1319251655359997E-2</v>
      </c>
      <c r="FV45">
        <v>4973.25821343386</v>
      </c>
      <c r="FW45">
        <v>0.38264662717810699</v>
      </c>
      <c r="FX45">
        <v>0.28704889791951899</v>
      </c>
      <c r="FY45">
        <v>115.047161320464</v>
      </c>
      <c r="FZ45">
        <v>1342.4893289423201</v>
      </c>
      <c r="GA45">
        <v>7.1007895361649904</v>
      </c>
    </row>
    <row r="46" spans="1:183" x14ac:dyDescent="0.2">
      <c r="A46" t="s">
        <v>2484</v>
      </c>
      <c r="B46" t="s">
        <v>182</v>
      </c>
      <c r="C46" t="s">
        <v>974</v>
      </c>
      <c r="D46" s="1">
        <v>42403</v>
      </c>
      <c r="E46" t="s">
        <v>381</v>
      </c>
      <c r="F46" t="s">
        <v>185</v>
      </c>
      <c r="G46" t="s">
        <v>186</v>
      </c>
      <c r="H46">
        <v>1</v>
      </c>
      <c r="I46">
        <v>400</v>
      </c>
      <c r="J46">
        <v>10</v>
      </c>
      <c r="K46" t="s">
        <v>187</v>
      </c>
      <c r="L46" t="s">
        <v>975</v>
      </c>
      <c r="M46">
        <v>5</v>
      </c>
      <c r="N46">
        <v>0.55859375</v>
      </c>
      <c r="O46">
        <v>0.55859375</v>
      </c>
      <c r="P46" t="s">
        <v>976</v>
      </c>
      <c r="Q46">
        <v>0</v>
      </c>
      <c r="R46" t="s">
        <v>194</v>
      </c>
      <c r="T46">
        <v>18063.176724116001</v>
      </c>
      <c r="U46">
        <v>18153.729553222602</v>
      </c>
      <c r="V46">
        <v>11636</v>
      </c>
      <c r="W46">
        <v>5804.5908316560099</v>
      </c>
      <c r="X46">
        <v>0.32134939054802802</v>
      </c>
      <c r="Y46">
        <v>24.4829241080621</v>
      </c>
      <c r="Z46">
        <v>2.3044207507957298E-2</v>
      </c>
      <c r="AA46">
        <v>0.18867997096832501</v>
      </c>
      <c r="AB46">
        <v>1.7435111660098901</v>
      </c>
      <c r="AC46">
        <v>0.57355525992331102</v>
      </c>
      <c r="AD46">
        <v>0.74351116600989098</v>
      </c>
      <c r="AE46" t="s">
        <v>977</v>
      </c>
      <c r="AF46" t="s">
        <v>978</v>
      </c>
      <c r="AG46" t="s">
        <v>979</v>
      </c>
      <c r="AH46" t="s">
        <v>193</v>
      </c>
      <c r="AI46" t="s">
        <v>193</v>
      </c>
      <c r="AJ46" t="s">
        <v>193</v>
      </c>
      <c r="AK46" t="s">
        <v>193</v>
      </c>
      <c r="AL46" t="s">
        <v>193</v>
      </c>
      <c r="AM46" t="s">
        <v>193</v>
      </c>
      <c r="AN46" t="s">
        <v>193</v>
      </c>
      <c r="AO46" t="s">
        <v>193</v>
      </c>
      <c r="AP46" t="s">
        <v>193</v>
      </c>
      <c r="AQ46">
        <v>8.9367811854883406E-2</v>
      </c>
      <c r="AR46" t="s">
        <v>193</v>
      </c>
      <c r="AS46" t="s">
        <v>193</v>
      </c>
      <c r="AT46">
        <v>58.282446244059201</v>
      </c>
      <c r="AU46" t="s">
        <v>193</v>
      </c>
      <c r="AV46" s="2">
        <v>16448493.895313701</v>
      </c>
      <c r="AW46">
        <v>56.609144035751001</v>
      </c>
      <c r="AX46">
        <v>4411.5560662662801</v>
      </c>
      <c r="AY46">
        <v>-5.3095072652990201</v>
      </c>
      <c r="AZ46">
        <v>46.873078113837998</v>
      </c>
      <c r="BA46">
        <v>61</v>
      </c>
      <c r="BB46">
        <v>-854</v>
      </c>
      <c r="BC46">
        <v>19</v>
      </c>
      <c r="BD46">
        <v>39</v>
      </c>
      <c r="BE46">
        <v>61</v>
      </c>
      <c r="BF46">
        <v>88</v>
      </c>
      <c r="BG46">
        <v>112</v>
      </c>
      <c r="BH46">
        <v>66.419545814965403</v>
      </c>
      <c r="BI46">
        <v>211</v>
      </c>
      <c r="BJ46">
        <v>49</v>
      </c>
      <c r="BK46">
        <v>1065</v>
      </c>
      <c r="BL46">
        <v>35.743436905488998</v>
      </c>
      <c r="BM46">
        <v>20.353896115076498</v>
      </c>
      <c r="BN46">
        <v>35.534204193881003</v>
      </c>
      <c r="BO46">
        <v>1.17330065568592</v>
      </c>
      <c r="BP46">
        <v>0.38582677165354301</v>
      </c>
      <c r="BQ46" t="s">
        <v>194</v>
      </c>
      <c r="BR46" s="2">
        <v>88621536</v>
      </c>
      <c r="BS46">
        <v>87.270563506412103</v>
      </c>
      <c r="BT46">
        <v>1027.66709106445</v>
      </c>
      <c r="BU46">
        <v>6827.1502685546802</v>
      </c>
      <c r="BV46">
        <v>0.54760736083984296</v>
      </c>
      <c r="BW46">
        <v>100.97151184082</v>
      </c>
      <c r="BX46">
        <v>1.0281289062500001</v>
      </c>
      <c r="BY46">
        <v>87.494689941406193</v>
      </c>
      <c r="BZ46" t="s">
        <v>194</v>
      </c>
      <c r="CA46" t="s">
        <v>980</v>
      </c>
      <c r="CB46" t="s">
        <v>981</v>
      </c>
      <c r="CC46" t="s">
        <v>982</v>
      </c>
      <c r="CD46" t="s">
        <v>983</v>
      </c>
      <c r="CE46" t="s">
        <v>984</v>
      </c>
      <c r="CF46" t="s">
        <v>985</v>
      </c>
      <c r="CG46" t="s">
        <v>986</v>
      </c>
      <c r="CH46">
        <v>106.21063939498001</v>
      </c>
      <c r="CI46">
        <v>44.221615919809103</v>
      </c>
      <c r="CJ46">
        <v>-5.30835739676</v>
      </c>
      <c r="CK46">
        <v>46.891579624272303</v>
      </c>
      <c r="CL46">
        <v>107</v>
      </c>
      <c r="CM46">
        <v>15</v>
      </c>
      <c r="CN46">
        <v>102</v>
      </c>
      <c r="CO46">
        <v>104</v>
      </c>
      <c r="CP46">
        <v>107</v>
      </c>
      <c r="CQ46">
        <v>109</v>
      </c>
      <c r="CR46">
        <v>112</v>
      </c>
      <c r="CS46">
        <v>6.6499335274729701</v>
      </c>
      <c r="CT46">
        <v>122</v>
      </c>
      <c r="CU46">
        <v>105</v>
      </c>
      <c r="CV46">
        <v>5</v>
      </c>
      <c r="CW46">
        <v>107</v>
      </c>
      <c r="CX46">
        <v>3.5814087241962902</v>
      </c>
      <c r="CY46">
        <v>2.22320330992211</v>
      </c>
      <c r="CZ46">
        <v>3.5550876589893399</v>
      </c>
      <c r="DA46">
        <v>6.2610804015056296E-2</v>
      </c>
      <c r="DB46">
        <v>2.3474178403755801E-2</v>
      </c>
      <c r="DC46">
        <v>1.22724080206782</v>
      </c>
      <c r="DD46">
        <v>4.0768056995812003</v>
      </c>
      <c r="DE46">
        <v>1062.1063939498099</v>
      </c>
      <c r="DF46">
        <v>7.7664210748851298E-2</v>
      </c>
      <c r="DG46">
        <v>2.58350085903332E-3</v>
      </c>
      <c r="DH46">
        <v>432.5</v>
      </c>
      <c r="DI46">
        <v>103</v>
      </c>
      <c r="DJ46">
        <v>-166</v>
      </c>
      <c r="DK46">
        <v>109</v>
      </c>
      <c r="DL46">
        <v>0.54760736083984296</v>
      </c>
      <c r="DM46">
        <v>100.97151184082</v>
      </c>
      <c r="DN46">
        <v>1.0281289062500001</v>
      </c>
      <c r="DO46">
        <v>87.494689941406193</v>
      </c>
      <c r="DP46" t="s">
        <v>194</v>
      </c>
      <c r="DQ46" t="s">
        <v>987</v>
      </c>
      <c r="DR46" t="s">
        <v>988</v>
      </c>
      <c r="DS46" t="s">
        <v>989</v>
      </c>
      <c r="DT46" t="s">
        <v>990</v>
      </c>
      <c r="DU46" t="s">
        <v>984</v>
      </c>
      <c r="DV46" t="s">
        <v>985</v>
      </c>
      <c r="DW46" t="s">
        <v>991</v>
      </c>
      <c r="DX46">
        <v>3.1690685871167898E-2</v>
      </c>
      <c r="DY46">
        <v>106.567927233623</v>
      </c>
      <c r="DZ46">
        <v>27.596036405397101</v>
      </c>
      <c r="EA46">
        <v>7.37265002269175</v>
      </c>
      <c r="EB46">
        <v>2.2193888043629499</v>
      </c>
      <c r="EC46">
        <v>2.6522008325933299</v>
      </c>
      <c r="ED46">
        <v>19.047436296385801</v>
      </c>
      <c r="EE46">
        <v>7.3726500226917704</v>
      </c>
      <c r="EF46">
        <v>213.13585446724599</v>
      </c>
      <c r="EG46">
        <v>61.183240288949698</v>
      </c>
      <c r="EH46">
        <v>4.8920048753282996</v>
      </c>
      <c r="EI46">
        <v>1.11950990338095E-2</v>
      </c>
      <c r="EJ46">
        <v>26.081605552794802</v>
      </c>
      <c r="EK46">
        <v>2.6522008325933299</v>
      </c>
      <c r="EL46">
        <v>0.46073771075118902</v>
      </c>
      <c r="EM46">
        <v>0.97727434264938995</v>
      </c>
      <c r="EN46">
        <v>0.39519169411751498</v>
      </c>
      <c r="EO46">
        <v>0.99793774780218103</v>
      </c>
      <c r="EP46" s="2">
        <v>1.83076113649792E-6</v>
      </c>
      <c r="EQ46">
        <v>0.52743928204678003</v>
      </c>
      <c r="ER46">
        <v>11371.2783484997</v>
      </c>
      <c r="ES46">
        <v>61.183240288949698</v>
      </c>
      <c r="ET46">
        <v>-3876.34878698892</v>
      </c>
      <c r="EU46">
        <v>436589.25958375598</v>
      </c>
      <c r="EV46">
        <v>0.88692190250536196</v>
      </c>
      <c r="EW46">
        <v>1.7177821268607401</v>
      </c>
      <c r="EX46" s="2">
        <v>9.30501717107833E-5</v>
      </c>
      <c r="EY46">
        <v>11309.9005385169</v>
      </c>
      <c r="EZ46" s="2">
        <v>8.3064422610874304E-5</v>
      </c>
      <c r="FA46">
        <v>10018.505121701201</v>
      </c>
      <c r="FB46" s="2">
        <v>1.5647642121801201E-4</v>
      </c>
      <c r="FC46">
        <v>19484.948658326899</v>
      </c>
      <c r="FD46">
        <v>729.97987454849397</v>
      </c>
      <c r="FE46">
        <v>7518.1105728186103</v>
      </c>
      <c r="FF46">
        <v>0.84701985879366404</v>
      </c>
      <c r="FG46" s="2">
        <v>7.9664540015067303E-4</v>
      </c>
      <c r="FH46">
        <v>2.3345565404053598E-2</v>
      </c>
      <c r="FI46">
        <v>7.7146176719041101E-2</v>
      </c>
      <c r="FJ46">
        <v>10528.440098773101</v>
      </c>
      <c r="FK46">
        <v>12.604847428450601</v>
      </c>
      <c r="FL46">
        <v>0.64747532780458295</v>
      </c>
      <c r="FM46">
        <v>1901.4748657881801</v>
      </c>
      <c r="FN46" s="2">
        <v>1.11002220677007E-4</v>
      </c>
      <c r="FO46">
        <v>10638.3430941922</v>
      </c>
      <c r="FP46" s="2">
        <v>7.7225916377706702E-5</v>
      </c>
      <c r="FQ46">
        <v>6595.5118824963301</v>
      </c>
      <c r="FR46">
        <v>0.16978786700713799</v>
      </c>
      <c r="FS46" s="2">
        <v>21321254.9795021</v>
      </c>
      <c r="FT46">
        <v>83.516349438750595</v>
      </c>
      <c r="FU46">
        <v>4.0759565367862599E-2</v>
      </c>
      <c r="FV46">
        <v>794.52562225475799</v>
      </c>
      <c r="FW46">
        <v>0.38776262677147799</v>
      </c>
      <c r="FX46">
        <v>0.17609144035751101</v>
      </c>
      <c r="FY46">
        <v>169.02860779615801</v>
      </c>
      <c r="FZ46">
        <v>1869.22532697567</v>
      </c>
      <c r="GA46">
        <v>7.0642040150611702</v>
      </c>
    </row>
    <row r="47" spans="1:183" x14ac:dyDescent="0.2">
      <c r="A47" t="s">
        <v>2485</v>
      </c>
      <c r="B47" t="s">
        <v>182</v>
      </c>
      <c r="C47" t="s">
        <v>992</v>
      </c>
      <c r="D47" s="1">
        <v>42175</v>
      </c>
      <c r="E47" t="s">
        <v>362</v>
      </c>
      <c r="F47" t="s">
        <v>185</v>
      </c>
      <c r="G47" t="s">
        <v>186</v>
      </c>
      <c r="H47">
        <v>1</v>
      </c>
      <c r="I47">
        <v>400</v>
      </c>
      <c r="J47">
        <v>10</v>
      </c>
      <c r="K47" t="s">
        <v>187</v>
      </c>
      <c r="L47" t="s">
        <v>993</v>
      </c>
      <c r="M47">
        <v>5</v>
      </c>
      <c r="N47">
        <v>0.703125</v>
      </c>
      <c r="O47">
        <v>0.703125</v>
      </c>
      <c r="P47" t="s">
        <v>994</v>
      </c>
      <c r="Q47">
        <v>0</v>
      </c>
      <c r="R47" t="s">
        <v>194</v>
      </c>
      <c r="T47">
        <v>138930.770874023</v>
      </c>
      <c r="U47">
        <v>139236.053466796</v>
      </c>
      <c r="V47">
        <v>56327</v>
      </c>
      <c r="W47">
        <v>21619.7131394598</v>
      </c>
      <c r="X47">
        <v>0.15561500885260099</v>
      </c>
      <c r="Y47">
        <v>22.881076092878398</v>
      </c>
      <c r="Z47">
        <v>2.46574759533865E-2</v>
      </c>
      <c r="AA47">
        <v>0.21602274615512901</v>
      </c>
      <c r="AB47">
        <v>1.6666081672880999</v>
      </c>
      <c r="AC47">
        <v>0.60002106051549797</v>
      </c>
      <c r="AD47">
        <v>0.66660816728810302</v>
      </c>
      <c r="AE47" t="s">
        <v>995</v>
      </c>
      <c r="AF47" t="s">
        <v>996</v>
      </c>
      <c r="AG47" t="s">
        <v>997</v>
      </c>
      <c r="AH47" t="s">
        <v>193</v>
      </c>
      <c r="AI47" t="s">
        <v>193</v>
      </c>
      <c r="AJ47" t="s">
        <v>193</v>
      </c>
      <c r="AK47" t="s">
        <v>193</v>
      </c>
      <c r="AL47" t="s">
        <v>193</v>
      </c>
      <c r="AM47" t="s">
        <v>193</v>
      </c>
      <c r="AN47" t="s">
        <v>193</v>
      </c>
      <c r="AO47" t="s">
        <v>193</v>
      </c>
      <c r="AP47" t="s">
        <v>193</v>
      </c>
      <c r="AQ47">
        <v>7.1706389495778997E-2</v>
      </c>
      <c r="AR47" t="s">
        <v>193</v>
      </c>
      <c r="AS47" t="s">
        <v>193</v>
      </c>
      <c r="AT47">
        <v>101.602403519202</v>
      </c>
      <c r="AU47" t="s">
        <v>193</v>
      </c>
      <c r="AV47" s="2">
        <v>96589705.059685796</v>
      </c>
      <c r="AW47">
        <v>60.236227741580997</v>
      </c>
      <c r="AX47">
        <v>1546.1653337417299</v>
      </c>
      <c r="AY47">
        <v>-2.6686147790327599</v>
      </c>
      <c r="AZ47">
        <v>57.523125762098097</v>
      </c>
      <c r="BA47">
        <v>65</v>
      </c>
      <c r="BB47">
        <v>-635</v>
      </c>
      <c r="BC47">
        <v>25</v>
      </c>
      <c r="BD47">
        <v>48</v>
      </c>
      <c r="BE47">
        <v>65</v>
      </c>
      <c r="BF47">
        <v>81</v>
      </c>
      <c r="BG47">
        <v>94</v>
      </c>
      <c r="BH47">
        <v>39.321308901685001</v>
      </c>
      <c r="BI47">
        <v>1026</v>
      </c>
      <c r="BJ47">
        <v>33</v>
      </c>
      <c r="BK47">
        <v>1661</v>
      </c>
      <c r="BL47">
        <v>23.990833269306901</v>
      </c>
      <c r="BM47">
        <v>13.9091261891364</v>
      </c>
      <c r="BN47">
        <v>23.551316420189199</v>
      </c>
      <c r="BO47">
        <v>0.65278504939547499</v>
      </c>
      <c r="BP47">
        <v>0.25581395348837199</v>
      </c>
      <c r="BQ47" t="s">
        <v>194</v>
      </c>
      <c r="BR47" s="2">
        <v>291467918</v>
      </c>
      <c r="BS47">
        <v>71.934473420448896</v>
      </c>
      <c r="BT47">
        <v>8387.0546264649292</v>
      </c>
      <c r="BU47">
        <v>92016.540527343706</v>
      </c>
      <c r="BV47">
        <v>0.501800537109375</v>
      </c>
      <c r="BW47">
        <v>100.310348510742</v>
      </c>
      <c r="BX47">
        <v>1.0357360839843699</v>
      </c>
      <c r="BY47">
        <v>88.711219787597599</v>
      </c>
      <c r="BZ47">
        <v>112.93478393554599</v>
      </c>
      <c r="CA47" t="s">
        <v>998</v>
      </c>
      <c r="CB47" t="s">
        <v>999</v>
      </c>
      <c r="CC47" t="s">
        <v>1000</v>
      </c>
      <c r="CD47" t="s">
        <v>1001</v>
      </c>
      <c r="CE47" t="s">
        <v>1002</v>
      </c>
      <c r="CF47" t="s">
        <v>1003</v>
      </c>
      <c r="CG47" t="s">
        <v>1004</v>
      </c>
      <c r="CH47">
        <v>106.57590498339999</v>
      </c>
      <c r="CI47">
        <v>15.543402244810901</v>
      </c>
      <c r="CJ47">
        <v>-2.6426463288170399</v>
      </c>
      <c r="CK47">
        <v>56.915878096034497</v>
      </c>
      <c r="CL47">
        <v>107</v>
      </c>
      <c r="CM47">
        <v>37</v>
      </c>
      <c r="CN47">
        <v>103</v>
      </c>
      <c r="CO47">
        <v>105</v>
      </c>
      <c r="CP47">
        <v>107</v>
      </c>
      <c r="CQ47">
        <v>109</v>
      </c>
      <c r="CR47">
        <v>110</v>
      </c>
      <c r="CS47">
        <v>3.9425121743389502</v>
      </c>
      <c r="CT47">
        <v>203</v>
      </c>
      <c r="CU47">
        <v>107</v>
      </c>
      <c r="CV47">
        <v>4</v>
      </c>
      <c r="CW47">
        <v>166</v>
      </c>
      <c r="CX47">
        <v>2.4242460183735801</v>
      </c>
      <c r="CY47">
        <v>1.48697806763445</v>
      </c>
      <c r="CZ47">
        <v>2.3417188914730001</v>
      </c>
      <c r="DA47">
        <v>3.6992528235655402E-2</v>
      </c>
      <c r="DB47">
        <v>1.86915887850467E-2</v>
      </c>
      <c r="DC47">
        <v>1.0798236710720699</v>
      </c>
      <c r="DD47">
        <v>3.5870965904587302</v>
      </c>
      <c r="DE47">
        <v>1065.7590498340301</v>
      </c>
      <c r="DF47">
        <v>0.111122939476976</v>
      </c>
      <c r="DG47">
        <v>1.4045705232950401E-3</v>
      </c>
      <c r="DH47">
        <v>2305</v>
      </c>
      <c r="DI47">
        <v>105</v>
      </c>
      <c r="DJ47">
        <v>-2533</v>
      </c>
      <c r="DK47">
        <v>110</v>
      </c>
      <c r="DL47">
        <v>0.501800537109375</v>
      </c>
      <c r="DM47">
        <v>100.310348510742</v>
      </c>
      <c r="DN47">
        <v>1.0357360839843699</v>
      </c>
      <c r="DO47">
        <v>88.711219787597599</v>
      </c>
      <c r="DP47">
        <v>112.93478393554599</v>
      </c>
      <c r="DQ47" t="s">
        <v>1005</v>
      </c>
      <c r="DR47" t="s">
        <v>1006</v>
      </c>
      <c r="DS47" t="s">
        <v>1007</v>
      </c>
      <c r="DT47" t="s">
        <v>1008</v>
      </c>
      <c r="DU47" t="s">
        <v>1002</v>
      </c>
      <c r="DV47" t="s">
        <v>1003</v>
      </c>
      <c r="DW47" t="s">
        <v>1009</v>
      </c>
      <c r="DX47">
        <v>3.6011029298877999E-2</v>
      </c>
      <c r="DY47">
        <v>106.826724556157</v>
      </c>
      <c r="DZ47">
        <v>10.681692408308299</v>
      </c>
      <c r="EA47">
        <v>6.7601841087202201</v>
      </c>
      <c r="EB47">
        <v>2.03501819293577</v>
      </c>
      <c r="EC47">
        <v>2.3797431819158699</v>
      </c>
      <c r="ED47">
        <v>7.2332077749180499</v>
      </c>
      <c r="EE47">
        <v>6.7601841087199599</v>
      </c>
      <c r="EF47">
        <v>213.65344911231401</v>
      </c>
      <c r="EG47">
        <v>29.547785048903599</v>
      </c>
      <c r="EH47">
        <v>6.7599422982602997</v>
      </c>
      <c r="EI47">
        <v>1.5979429642540899E-2</v>
      </c>
      <c r="EJ47">
        <v>12.896385386793</v>
      </c>
      <c r="EK47">
        <v>2.3797431819158699</v>
      </c>
      <c r="EL47">
        <v>0.436050622074795</v>
      </c>
      <c r="EM47">
        <v>0.98618120667797704</v>
      </c>
      <c r="EN47">
        <v>0.36079927683681801</v>
      </c>
      <c r="EO47">
        <v>0.999543194004748</v>
      </c>
      <c r="EP47" s="2">
        <v>5.0064854095367304E-7</v>
      </c>
      <c r="EQ47">
        <v>0.39633229951640497</v>
      </c>
      <c r="ER47">
        <v>11416.182579111801</v>
      </c>
      <c r="ES47">
        <v>29.547785048903599</v>
      </c>
      <c r="ET47">
        <v>-411.14071214822297</v>
      </c>
      <c r="EU47">
        <v>39036.072390477399</v>
      </c>
      <c r="EV47">
        <v>0.89586770683516304</v>
      </c>
      <c r="EW47">
        <v>1.5537192250286</v>
      </c>
      <c r="EX47" s="2">
        <v>8.8745036724492796E-5</v>
      </c>
      <c r="EY47">
        <v>11356.4945542607</v>
      </c>
      <c r="EZ47" s="2">
        <v>7.96556508930724E-5</v>
      </c>
      <c r="FA47">
        <v>10161.23597442</v>
      </c>
      <c r="FB47" s="2">
        <v>1.37042712158523E-4</v>
      </c>
      <c r="FC47">
        <v>17715.920399854302</v>
      </c>
      <c r="FD47">
        <v>5109.08680241205</v>
      </c>
      <c r="FE47">
        <v>37194.0182850907</v>
      </c>
      <c r="FF47">
        <v>0.86205959431943402</v>
      </c>
      <c r="FG47" s="2">
        <v>1.2820768830822799E-4</v>
      </c>
      <c r="FH47">
        <v>6.0396593877305596E-3</v>
      </c>
      <c r="FI47">
        <v>0.41997761250563398</v>
      </c>
      <c r="FJ47">
        <v>9662.1789362558793</v>
      </c>
      <c r="FK47">
        <v>2.53075786180215</v>
      </c>
      <c r="FL47">
        <v>0.656516196736875</v>
      </c>
      <c r="FM47">
        <v>25000.0601791175</v>
      </c>
      <c r="FN47" s="2">
        <v>9.3552559763566501E-5</v>
      </c>
      <c r="FO47">
        <v>10989.355613805101</v>
      </c>
      <c r="FP47" s="2">
        <v>6.2377136796088498E-5</v>
      </c>
      <c r="FQ47">
        <v>7170.3279032067403</v>
      </c>
      <c r="FR47">
        <v>2.16641284116236</v>
      </c>
      <c r="FS47" s="2">
        <v>288597427.48176003</v>
      </c>
      <c r="FT47">
        <v>545.90214067278202</v>
      </c>
      <c r="FU47">
        <v>5.9622339523021199E-2</v>
      </c>
      <c r="FV47">
        <v>3653.5314547837402</v>
      </c>
      <c r="FW47">
        <v>0.39903139523631997</v>
      </c>
      <c r="FX47">
        <v>0.16255081932288201</v>
      </c>
      <c r="FY47">
        <v>55.679471224564097</v>
      </c>
      <c r="FZ47">
        <v>24962.21403191</v>
      </c>
      <c r="GA47">
        <v>6.5303798448652897</v>
      </c>
    </row>
    <row r="48" spans="1:183" x14ac:dyDescent="0.2">
      <c r="A48" t="s">
        <v>2486</v>
      </c>
      <c r="B48" t="s">
        <v>182</v>
      </c>
      <c r="C48" t="s">
        <v>1010</v>
      </c>
      <c r="D48" s="1">
        <v>43174</v>
      </c>
      <c r="E48" t="s">
        <v>1011</v>
      </c>
      <c r="F48" t="s">
        <v>185</v>
      </c>
      <c r="G48" t="s">
        <v>186</v>
      </c>
      <c r="H48">
        <v>1</v>
      </c>
      <c r="I48">
        <v>400</v>
      </c>
      <c r="J48">
        <v>10</v>
      </c>
      <c r="K48" t="s">
        <v>187</v>
      </c>
      <c r="L48" t="s">
        <v>1012</v>
      </c>
      <c r="M48">
        <v>2</v>
      </c>
      <c r="N48">
        <v>0.66015625</v>
      </c>
      <c r="O48">
        <v>0.66015625</v>
      </c>
      <c r="P48" t="s">
        <v>1013</v>
      </c>
      <c r="Q48">
        <v>0</v>
      </c>
      <c r="R48" t="s">
        <v>194</v>
      </c>
      <c r="T48">
        <v>6223.67677052815</v>
      </c>
      <c r="U48">
        <v>6361.8999938964798</v>
      </c>
      <c r="V48">
        <v>7299</v>
      </c>
      <c r="W48">
        <v>4318.8701223278604</v>
      </c>
      <c r="X48">
        <v>0.69394190629879904</v>
      </c>
      <c r="Y48">
        <v>45.604551272788498</v>
      </c>
      <c r="Z48">
        <v>1.23713438198963E-2</v>
      </c>
      <c r="AA48">
        <v>5.43795988824275E-2</v>
      </c>
      <c r="AB48">
        <v>2.6394979765222701</v>
      </c>
      <c r="AC48">
        <v>0.37885992294548698</v>
      </c>
      <c r="AD48">
        <v>1.6394979765222699</v>
      </c>
      <c r="AE48" t="s">
        <v>1014</v>
      </c>
      <c r="AF48" t="s">
        <v>1015</v>
      </c>
      <c r="AG48" t="s">
        <v>1016</v>
      </c>
      <c r="AH48" t="s">
        <v>193</v>
      </c>
      <c r="AI48" t="s">
        <v>193</v>
      </c>
      <c r="AJ48" t="s">
        <v>193</v>
      </c>
      <c r="AK48" t="s">
        <v>193</v>
      </c>
      <c r="AL48" t="s">
        <v>193</v>
      </c>
      <c r="AM48" t="s">
        <v>193</v>
      </c>
      <c r="AN48" t="s">
        <v>193</v>
      </c>
      <c r="AO48" t="s">
        <v>193</v>
      </c>
      <c r="AP48" t="s">
        <v>193</v>
      </c>
      <c r="AQ48">
        <v>8.0957475944905308</v>
      </c>
      <c r="AR48" t="s">
        <v>193</v>
      </c>
      <c r="AS48" t="s">
        <v>193</v>
      </c>
      <c r="AT48">
        <v>61.657149651020802</v>
      </c>
      <c r="AU48" t="s">
        <v>193</v>
      </c>
      <c r="AV48">
        <v>-179780.61122461499</v>
      </c>
      <c r="AW48">
        <v>-28.8865598027127</v>
      </c>
      <c r="AX48">
        <v>10693.826287370401</v>
      </c>
      <c r="AY48">
        <v>-2.8425159660220598</v>
      </c>
      <c r="AZ48">
        <v>11.826939525024001</v>
      </c>
      <c r="BA48">
        <v>-3</v>
      </c>
      <c r="BB48">
        <v>-800</v>
      </c>
      <c r="BC48">
        <v>-134</v>
      </c>
      <c r="BD48">
        <v>-41</v>
      </c>
      <c r="BE48">
        <v>-3</v>
      </c>
      <c r="BF48">
        <v>22</v>
      </c>
      <c r="BG48">
        <v>47</v>
      </c>
      <c r="BH48">
        <v>103.41095825574</v>
      </c>
      <c r="BI48">
        <v>465</v>
      </c>
      <c r="BJ48">
        <v>63</v>
      </c>
      <c r="BK48">
        <v>1265</v>
      </c>
      <c r="BL48">
        <v>64.332942252271195</v>
      </c>
      <c r="BM48">
        <v>30.042656741112701</v>
      </c>
      <c r="BN48">
        <v>58.424441704343003</v>
      </c>
      <c r="BO48">
        <v>-3.5798987128272901</v>
      </c>
      <c r="BP48">
        <v>-3.3157894736842102</v>
      </c>
      <c r="BQ48" t="s">
        <v>194</v>
      </c>
      <c r="BR48" s="2">
        <v>84144767</v>
      </c>
      <c r="BS48">
        <v>107.36973327994301</v>
      </c>
      <c r="BT48">
        <v>-183.773404632568</v>
      </c>
      <c r="BU48">
        <v>2947.2125651041601</v>
      </c>
      <c r="BV48">
        <v>0.51337976074218705</v>
      </c>
      <c r="BW48" t="s">
        <v>194</v>
      </c>
      <c r="BX48">
        <v>1.04854992675781</v>
      </c>
      <c r="BY48" t="s">
        <v>194</v>
      </c>
      <c r="BZ48" t="s">
        <v>194</v>
      </c>
      <c r="CA48" t="s">
        <v>1017</v>
      </c>
      <c r="CB48" t="s">
        <v>1018</v>
      </c>
      <c r="CC48" t="s">
        <v>1019</v>
      </c>
      <c r="CD48" t="s">
        <v>1020</v>
      </c>
      <c r="CE48" t="s">
        <v>1021</v>
      </c>
      <c r="CF48" t="s">
        <v>1022</v>
      </c>
      <c r="CG48" t="s">
        <v>1023</v>
      </c>
      <c r="CH48">
        <v>97.662967529799104</v>
      </c>
      <c r="CI48">
        <v>107.008206620536</v>
      </c>
      <c r="CJ48">
        <v>-2.8391801412281299</v>
      </c>
      <c r="CK48">
        <v>11.8077709003992</v>
      </c>
      <c r="CL48">
        <v>100</v>
      </c>
      <c r="CM48">
        <v>21</v>
      </c>
      <c r="CN48">
        <v>87</v>
      </c>
      <c r="CO48">
        <v>96</v>
      </c>
      <c r="CP48">
        <v>100</v>
      </c>
      <c r="CQ48">
        <v>103</v>
      </c>
      <c r="CR48">
        <v>105</v>
      </c>
      <c r="CS48">
        <v>10.344477107158999</v>
      </c>
      <c r="CT48">
        <v>147</v>
      </c>
      <c r="CU48">
        <v>101</v>
      </c>
      <c r="CV48">
        <v>7</v>
      </c>
      <c r="CW48">
        <v>126</v>
      </c>
      <c r="CX48">
        <v>6.44248841974792</v>
      </c>
      <c r="CY48">
        <v>3.1088540383851102</v>
      </c>
      <c r="CZ48">
        <v>5.8454582819564296</v>
      </c>
      <c r="DA48">
        <v>0.10592015959378499</v>
      </c>
      <c r="DB48">
        <v>3.5175879396984903E-2</v>
      </c>
      <c r="DC48">
        <v>1.42745140382603</v>
      </c>
      <c r="DD48">
        <v>4.7418909224561103</v>
      </c>
      <c r="DE48">
        <v>976.62967529799903</v>
      </c>
      <c r="DF48">
        <v>5.8179777942919599E-2</v>
      </c>
      <c r="DG48">
        <v>2.8232825757239701E-3</v>
      </c>
      <c r="DH48">
        <v>160.5</v>
      </c>
      <c r="DI48">
        <v>98</v>
      </c>
      <c r="DJ48">
        <v>-153.5</v>
      </c>
      <c r="DK48">
        <v>103</v>
      </c>
      <c r="DL48">
        <v>0.51337976074218705</v>
      </c>
      <c r="DM48" t="s">
        <v>194</v>
      </c>
      <c r="DN48">
        <v>1.04854992675781</v>
      </c>
      <c r="DO48" t="s">
        <v>194</v>
      </c>
      <c r="DP48" t="s">
        <v>194</v>
      </c>
      <c r="DQ48" t="s">
        <v>1024</v>
      </c>
      <c r="DR48" t="s">
        <v>1025</v>
      </c>
      <c r="DS48" t="s">
        <v>1026</v>
      </c>
      <c r="DT48" t="s">
        <v>1027</v>
      </c>
      <c r="DU48" t="s">
        <v>1021</v>
      </c>
      <c r="DV48" t="s">
        <v>1022</v>
      </c>
      <c r="DW48" t="s">
        <v>1028</v>
      </c>
      <c r="DX48">
        <v>2.3968536657761899E-2</v>
      </c>
      <c r="DY48">
        <v>98.513409023449398</v>
      </c>
      <c r="DZ48">
        <v>81.3645426676662</v>
      </c>
      <c r="EA48">
        <v>8.6585687462539802</v>
      </c>
      <c r="EB48">
        <v>2.6064889121410202</v>
      </c>
      <c r="EC48">
        <v>4.8213564856040296</v>
      </c>
      <c r="ED48">
        <v>48.435480380190398</v>
      </c>
      <c r="EE48">
        <v>8.6585687462543497</v>
      </c>
      <c r="EF48">
        <v>197.026818046898</v>
      </c>
      <c r="EG48">
        <v>253.373598152976</v>
      </c>
      <c r="EH48">
        <v>8.6570513791294594</v>
      </c>
      <c r="EI48">
        <v>7.1365740979356003E-3</v>
      </c>
      <c r="EJ48">
        <v>71.680958741465702</v>
      </c>
      <c r="EK48">
        <v>4.8213564856040296</v>
      </c>
      <c r="EL48">
        <v>0.378395015076817</v>
      </c>
      <c r="EM48">
        <v>0.96577550307134696</v>
      </c>
      <c r="EN48">
        <v>0.307509721154896</v>
      </c>
      <c r="EO48">
        <v>0.99576421948198102</v>
      </c>
      <c r="EP48" s="2">
        <v>2.49819806020265E-5</v>
      </c>
      <c r="EQ48">
        <v>0.559507394798195</v>
      </c>
      <c r="ER48">
        <v>9750.41582071835</v>
      </c>
      <c r="ES48">
        <v>253.373598152976</v>
      </c>
      <c r="ET48">
        <v>-11968.1720178913</v>
      </c>
      <c r="EU48">
        <v>1080963.97435041</v>
      </c>
      <c r="EV48">
        <v>0.92898585664899103</v>
      </c>
      <c r="EW48">
        <v>1.3869160272568299</v>
      </c>
      <c r="EX48" s="2">
        <v>1.14830046716242E-4</v>
      </c>
      <c r="EY48">
        <v>9579.5601462560899</v>
      </c>
      <c r="EZ48" s="2">
        <v>1.07803740917053E-4</v>
      </c>
      <c r="FA48">
        <v>8853.6874149883006</v>
      </c>
      <c r="FB48" s="2">
        <v>1.52945663271354E-4</v>
      </c>
      <c r="FC48">
        <v>13542.4932716191</v>
      </c>
      <c r="FD48">
        <v>357.34329591982799</v>
      </c>
      <c r="FE48">
        <v>5512.3182420871299</v>
      </c>
      <c r="FF48">
        <v>0.90247346844140897</v>
      </c>
      <c r="FG48">
        <v>1.16639943499958E-3</v>
      </c>
      <c r="FH48">
        <v>7.1180174534673402E-2</v>
      </c>
      <c r="FI48">
        <v>5.1301108630832003E-2</v>
      </c>
      <c r="FJ48">
        <v>19009.792946085301</v>
      </c>
      <c r="FK48">
        <v>11.997838819377201</v>
      </c>
      <c r="FL48">
        <v>0.74613979161139998</v>
      </c>
      <c r="FM48">
        <v>156.95956160241801</v>
      </c>
      <c r="FN48" s="2">
        <v>1.3618525608784701E-4</v>
      </c>
      <c r="FO48">
        <v>8753.5608465608402</v>
      </c>
      <c r="FP48" s="2">
        <v>1.0818272491414101E-4</v>
      </c>
      <c r="FQ48">
        <v>6306.2225413613196</v>
      </c>
      <c r="FR48">
        <v>1.52879462383978E-2</v>
      </c>
      <c r="FS48">
        <v>1616446.8072562299</v>
      </c>
      <c r="FT48">
        <v>75.705215419501101</v>
      </c>
      <c r="FU48">
        <v>2.8611192524376799E-2</v>
      </c>
      <c r="FV48">
        <v>1365.50113378684</v>
      </c>
      <c r="FW48">
        <v>0.51606240883856602</v>
      </c>
      <c r="FX48">
        <v>0.36251541307028301</v>
      </c>
      <c r="FY48">
        <v>208.004781958134</v>
      </c>
      <c r="FZ48">
        <v>149.35022058710101</v>
      </c>
      <c r="GA48">
        <v>6.9960467244685001</v>
      </c>
    </row>
    <row r="49" spans="1:183" x14ac:dyDescent="0.2">
      <c r="A49" t="s">
        <v>2487</v>
      </c>
      <c r="B49" t="s">
        <v>182</v>
      </c>
      <c r="C49" t="s">
        <v>1029</v>
      </c>
      <c r="D49" s="1">
        <v>42152</v>
      </c>
      <c r="E49" t="s">
        <v>1030</v>
      </c>
      <c r="F49" t="s">
        <v>185</v>
      </c>
      <c r="G49" t="s">
        <v>186</v>
      </c>
      <c r="H49">
        <v>1</v>
      </c>
      <c r="I49">
        <v>400</v>
      </c>
      <c r="J49">
        <v>10</v>
      </c>
      <c r="K49" t="s">
        <v>187</v>
      </c>
      <c r="L49" t="s">
        <v>1031</v>
      </c>
      <c r="M49">
        <v>3</v>
      </c>
      <c r="N49">
        <v>0.7421875</v>
      </c>
      <c r="O49">
        <v>0.7421875</v>
      </c>
      <c r="P49" t="s">
        <v>1032</v>
      </c>
      <c r="Q49">
        <v>0</v>
      </c>
      <c r="R49" t="s">
        <v>194</v>
      </c>
      <c r="T49">
        <v>30354.714965820302</v>
      </c>
      <c r="U49">
        <v>30490.773010253899</v>
      </c>
      <c r="V49">
        <v>18451</v>
      </c>
      <c r="W49">
        <v>9704.2981292372897</v>
      </c>
      <c r="X49">
        <v>0.31969656576134597</v>
      </c>
      <c r="Y49">
        <v>31.493435307854501</v>
      </c>
      <c r="Z49">
        <v>1.7914513867181899E-2</v>
      </c>
      <c r="AA49">
        <v>0.11402820851651201</v>
      </c>
      <c r="AB49">
        <v>2.0621926419214498</v>
      </c>
      <c r="AC49">
        <v>0.48492074875616098</v>
      </c>
      <c r="AD49">
        <v>1.06219264192145</v>
      </c>
      <c r="AE49" t="s">
        <v>1033</v>
      </c>
      <c r="AF49" t="s">
        <v>1034</v>
      </c>
      <c r="AG49" t="s">
        <v>1035</v>
      </c>
      <c r="AH49" t="s">
        <v>193</v>
      </c>
      <c r="AI49" t="s">
        <v>193</v>
      </c>
      <c r="AJ49" t="s">
        <v>193</v>
      </c>
      <c r="AK49" t="s">
        <v>193</v>
      </c>
      <c r="AL49" t="s">
        <v>193</v>
      </c>
      <c r="AM49" t="s">
        <v>193</v>
      </c>
      <c r="AN49" t="s">
        <v>193</v>
      </c>
      <c r="AO49" t="s">
        <v>193</v>
      </c>
      <c r="AP49" t="s">
        <v>193</v>
      </c>
      <c r="AQ49">
        <v>1.5554240243342401</v>
      </c>
      <c r="AR49" t="s">
        <v>193</v>
      </c>
      <c r="AS49" t="s">
        <v>193</v>
      </c>
      <c r="AT49">
        <v>80.570807266158795</v>
      </c>
      <c r="AU49" t="s">
        <v>193</v>
      </c>
      <c r="AV49">
        <v>1965325.8996048099</v>
      </c>
      <c r="AW49">
        <v>64.745325456615305</v>
      </c>
      <c r="AX49">
        <v>9024.8520017517203</v>
      </c>
      <c r="AY49">
        <v>-3.1294373080217399</v>
      </c>
      <c r="AZ49">
        <v>16.860679767510799</v>
      </c>
      <c r="BA49">
        <v>79</v>
      </c>
      <c r="BB49">
        <v>-839</v>
      </c>
      <c r="BC49">
        <v>-13</v>
      </c>
      <c r="BD49">
        <v>39</v>
      </c>
      <c r="BE49">
        <v>79</v>
      </c>
      <c r="BF49">
        <v>115</v>
      </c>
      <c r="BG49">
        <v>146</v>
      </c>
      <c r="BH49">
        <v>94.999221058657696</v>
      </c>
      <c r="BI49">
        <v>399</v>
      </c>
      <c r="BJ49">
        <v>76</v>
      </c>
      <c r="BK49">
        <v>1238</v>
      </c>
      <c r="BL49">
        <v>58.574311461676402</v>
      </c>
      <c r="BM49">
        <v>32.082132516293498</v>
      </c>
      <c r="BN49">
        <v>57.010731125684202</v>
      </c>
      <c r="BO49">
        <v>1.46727536526656</v>
      </c>
      <c r="BP49">
        <v>0.493506493506493</v>
      </c>
      <c r="BQ49" t="s">
        <v>194</v>
      </c>
      <c r="BR49" s="2">
        <v>243863346</v>
      </c>
      <c r="BS49">
        <v>114.96438218089401</v>
      </c>
      <c r="BT49">
        <v>1974.1350219726701</v>
      </c>
      <c r="BU49">
        <v>24573.074340820302</v>
      </c>
      <c r="BV49">
        <v>0.52054595947265603</v>
      </c>
      <c r="BW49">
        <v>117.31428527832</v>
      </c>
      <c r="BX49">
        <v>1.0262192382812501</v>
      </c>
      <c r="BY49">
        <v>102.424194335937</v>
      </c>
      <c r="BZ49">
        <v>131.64646911621</v>
      </c>
      <c r="CA49" t="s">
        <v>1036</v>
      </c>
      <c r="CB49" t="s">
        <v>1037</v>
      </c>
      <c r="CC49" t="s">
        <v>1038</v>
      </c>
      <c r="CD49" t="s">
        <v>1039</v>
      </c>
      <c r="CE49" t="s">
        <v>1040</v>
      </c>
      <c r="CF49" t="s">
        <v>1041</v>
      </c>
      <c r="CG49" t="s">
        <v>1042</v>
      </c>
      <c r="CH49">
        <v>107.019294347189</v>
      </c>
      <c r="CI49">
        <v>90.385948252798599</v>
      </c>
      <c r="CJ49">
        <v>-3.1279600589243799</v>
      </c>
      <c r="CK49">
        <v>16.8403787909904</v>
      </c>
      <c r="CL49">
        <v>108</v>
      </c>
      <c r="CM49">
        <v>17</v>
      </c>
      <c r="CN49">
        <v>99</v>
      </c>
      <c r="CO49">
        <v>104</v>
      </c>
      <c r="CP49">
        <v>108</v>
      </c>
      <c r="CQ49">
        <v>112</v>
      </c>
      <c r="CR49">
        <v>115</v>
      </c>
      <c r="CS49">
        <v>9.5071524786761792</v>
      </c>
      <c r="CT49">
        <v>140</v>
      </c>
      <c r="CU49">
        <v>109</v>
      </c>
      <c r="CV49">
        <v>8</v>
      </c>
      <c r="CW49">
        <v>123</v>
      </c>
      <c r="CX49">
        <v>5.8531747798485396</v>
      </c>
      <c r="CY49">
        <v>3.32260022285916</v>
      </c>
      <c r="CZ49">
        <v>5.7124817083084896</v>
      </c>
      <c r="DA49">
        <v>8.8835873350400593E-2</v>
      </c>
      <c r="DB49">
        <v>3.7037037037037E-2</v>
      </c>
      <c r="DC49">
        <v>1.45189414903739</v>
      </c>
      <c r="DD49">
        <v>4.8230879644898996</v>
      </c>
      <c r="DE49">
        <v>1070.19294347191</v>
      </c>
      <c r="DF49">
        <v>4.7880424393062497E-2</v>
      </c>
      <c r="DG49">
        <v>1.6109017049198799E-3</v>
      </c>
      <c r="DH49">
        <v>189.5</v>
      </c>
      <c r="DI49">
        <v>104</v>
      </c>
      <c r="DJ49">
        <v>-179.5</v>
      </c>
      <c r="DK49">
        <v>113</v>
      </c>
      <c r="DL49">
        <v>0.52054595947265603</v>
      </c>
      <c r="DM49">
        <v>117.31428527832</v>
      </c>
      <c r="DN49">
        <v>1.0262192382812501</v>
      </c>
      <c r="DO49">
        <v>102.424194335937</v>
      </c>
      <c r="DP49">
        <v>131.64646911621</v>
      </c>
      <c r="DQ49" t="s">
        <v>1043</v>
      </c>
      <c r="DR49" t="s">
        <v>1044</v>
      </c>
      <c r="DS49" t="s">
        <v>1045</v>
      </c>
      <c r="DT49" t="s">
        <v>1046</v>
      </c>
      <c r="DU49" t="s">
        <v>1040</v>
      </c>
      <c r="DV49" t="s">
        <v>1041</v>
      </c>
      <c r="DW49" t="s">
        <v>1047</v>
      </c>
      <c r="DX49">
        <v>6.70065844328443E-3</v>
      </c>
      <c r="DY49">
        <v>107.915877932801</v>
      </c>
      <c r="DZ49">
        <v>62.387418427049802</v>
      </c>
      <c r="EA49">
        <v>9.2608648962352706</v>
      </c>
      <c r="EB49">
        <v>2.7877981195583899</v>
      </c>
      <c r="EC49">
        <v>6.4957173393433401</v>
      </c>
      <c r="ED49">
        <v>48.526457092263598</v>
      </c>
      <c r="EE49">
        <v>9.2608648962350806</v>
      </c>
      <c r="EF49">
        <v>215.83175586560299</v>
      </c>
      <c r="EG49">
        <v>158.12111059973901</v>
      </c>
      <c r="EH49">
        <v>9.2525893287476393</v>
      </c>
      <c r="EI49">
        <v>2.8468056370681899E-3</v>
      </c>
      <c r="EJ49">
        <v>90.720800844909604</v>
      </c>
      <c r="EK49">
        <v>6.4957173393433401</v>
      </c>
      <c r="EL49">
        <v>0.25045635003002198</v>
      </c>
      <c r="EM49">
        <v>0.95255240050165302</v>
      </c>
      <c r="EN49">
        <v>0.159473554164031</v>
      </c>
      <c r="EO49">
        <v>0.994454928466313</v>
      </c>
      <c r="EP49" s="2">
        <v>3.1552443243131399E-5</v>
      </c>
      <c r="EQ49">
        <v>0.27292390731802701</v>
      </c>
      <c r="ER49">
        <v>11662.8637280118</v>
      </c>
      <c r="ES49">
        <v>158.12111059973901</v>
      </c>
      <c r="ET49">
        <v>-6015.7462345324702</v>
      </c>
      <c r="EU49">
        <v>545980.65116690495</v>
      </c>
      <c r="EV49">
        <v>0.965278063861018</v>
      </c>
      <c r="EW49">
        <v>1.15169170364205</v>
      </c>
      <c r="EX49" s="2">
        <v>9.2795597341892403E-5</v>
      </c>
      <c r="EY49">
        <v>11526.273279920801</v>
      </c>
      <c r="EZ49" s="2">
        <v>8.9852125180600606E-5</v>
      </c>
      <c r="FA49">
        <v>11113.3000238638</v>
      </c>
      <c r="FB49" s="2">
        <v>1.05640805284036E-4</v>
      </c>
      <c r="FC49">
        <v>13331.7308711609</v>
      </c>
      <c r="FD49">
        <v>824.39723967723501</v>
      </c>
      <c r="FE49">
        <v>16057.3010728973</v>
      </c>
      <c r="FF49">
        <v>0.95370690769314104</v>
      </c>
      <c r="FG49" s="2">
        <v>3.4132304463479698E-4</v>
      </c>
      <c r="FH49">
        <v>6.9251175449803498E-2</v>
      </c>
      <c r="FI49">
        <v>0.143942221665045</v>
      </c>
      <c r="FJ49">
        <v>36488.503831818503</v>
      </c>
      <c r="FK49">
        <v>5.0537173405389604</v>
      </c>
      <c r="FL49">
        <v>0.75171106983435199</v>
      </c>
      <c r="FM49">
        <v>15.279191463164301</v>
      </c>
      <c r="FN49" s="2">
        <v>9.9103625969207502E-5</v>
      </c>
      <c r="FO49">
        <v>11240.6235378616</v>
      </c>
      <c r="FP49" s="2">
        <v>7.7621414399753805E-5</v>
      </c>
      <c r="FQ49">
        <v>8318.6927058132205</v>
      </c>
      <c r="FR49">
        <v>1.2994295510977199E-3</v>
      </c>
      <c r="FS49">
        <v>181615.922942745</v>
      </c>
      <c r="FT49">
        <v>340.70941924892202</v>
      </c>
      <c r="FU49">
        <v>3.49588979323745E-2</v>
      </c>
      <c r="FV49">
        <v>5105.0102606197397</v>
      </c>
      <c r="FW49">
        <v>0.52380569060329796</v>
      </c>
      <c r="FX49">
        <v>0.52820985312449098</v>
      </c>
      <c r="FY49">
        <v>145.93753155514301</v>
      </c>
      <c r="FZ49">
        <v>11.695034641225099</v>
      </c>
      <c r="GA49">
        <v>6.72122548316114</v>
      </c>
    </row>
    <row r="50" spans="1:183" x14ac:dyDescent="0.2">
      <c r="A50" t="s">
        <v>2488</v>
      </c>
      <c r="B50" t="s">
        <v>182</v>
      </c>
      <c r="C50" t="s">
        <v>1048</v>
      </c>
      <c r="D50" s="1">
        <v>42236</v>
      </c>
      <c r="E50" t="s">
        <v>1049</v>
      </c>
      <c r="F50" t="s">
        <v>185</v>
      </c>
      <c r="G50" t="s">
        <v>186</v>
      </c>
      <c r="H50">
        <v>1</v>
      </c>
      <c r="I50">
        <v>400</v>
      </c>
      <c r="J50">
        <v>10</v>
      </c>
      <c r="K50" t="s">
        <v>187</v>
      </c>
      <c r="L50" t="s">
        <v>1050</v>
      </c>
      <c r="M50">
        <v>5</v>
      </c>
      <c r="N50">
        <v>0.751953125</v>
      </c>
      <c r="O50">
        <v>0.751953125</v>
      </c>
      <c r="P50" t="s">
        <v>1051</v>
      </c>
      <c r="Q50">
        <v>0</v>
      </c>
      <c r="R50" t="s">
        <v>194</v>
      </c>
      <c r="T50">
        <v>96049.364427725406</v>
      </c>
      <c r="U50">
        <v>96335.732936859102</v>
      </c>
      <c r="V50">
        <v>34075</v>
      </c>
      <c r="W50">
        <v>27218.430155282502</v>
      </c>
      <c r="X50">
        <v>0.283379596704814</v>
      </c>
      <c r="Y50">
        <v>46.751991419086998</v>
      </c>
      <c r="Z50">
        <v>1.20677123352957E-2</v>
      </c>
      <c r="AA50">
        <v>5.1743064261612598E-2</v>
      </c>
      <c r="AB50">
        <v>2.6835886838453802</v>
      </c>
      <c r="AC50">
        <v>0.37263534684721999</v>
      </c>
      <c r="AD50">
        <v>1.68358868384538</v>
      </c>
      <c r="AE50" t="s">
        <v>1052</v>
      </c>
      <c r="AF50" t="s">
        <v>1053</v>
      </c>
      <c r="AG50" t="s">
        <v>1054</v>
      </c>
      <c r="AH50" t="s">
        <v>193</v>
      </c>
      <c r="AI50" t="s">
        <v>193</v>
      </c>
      <c r="AJ50" t="s">
        <v>193</v>
      </c>
      <c r="AK50" t="s">
        <v>193</v>
      </c>
      <c r="AL50" t="s">
        <v>193</v>
      </c>
      <c r="AM50" t="s">
        <v>193</v>
      </c>
      <c r="AN50" t="s">
        <v>193</v>
      </c>
      <c r="AO50" t="s">
        <v>193</v>
      </c>
      <c r="AP50" t="s">
        <v>193</v>
      </c>
      <c r="AQ50">
        <v>0.11810797506215</v>
      </c>
      <c r="AR50" t="s">
        <v>193</v>
      </c>
      <c r="AS50" t="s">
        <v>193</v>
      </c>
      <c r="AT50">
        <v>125.10364660472</v>
      </c>
      <c r="AU50" t="s">
        <v>193</v>
      </c>
      <c r="AV50" s="2">
        <v>101272826.244848</v>
      </c>
      <c r="AW50">
        <v>30.383096111518601</v>
      </c>
      <c r="AX50">
        <v>14313.144917486699</v>
      </c>
      <c r="AY50">
        <v>-3.8778784433120701</v>
      </c>
      <c r="AZ50">
        <v>18.514725726303102</v>
      </c>
      <c r="BA50">
        <v>64</v>
      </c>
      <c r="BB50">
        <v>-1024</v>
      </c>
      <c r="BC50">
        <v>-63</v>
      </c>
      <c r="BD50">
        <v>37</v>
      </c>
      <c r="BE50">
        <v>64</v>
      </c>
      <c r="BF50">
        <v>82</v>
      </c>
      <c r="BG50">
        <v>97</v>
      </c>
      <c r="BH50">
        <v>119.637556467384</v>
      </c>
      <c r="BI50">
        <v>166</v>
      </c>
      <c r="BJ50">
        <v>45</v>
      </c>
      <c r="BK50">
        <v>1190</v>
      </c>
      <c r="BL50">
        <v>66.142737577405398</v>
      </c>
      <c r="BM50">
        <v>22.7405347518716</v>
      </c>
      <c r="BN50">
        <v>55.237388114453402</v>
      </c>
      <c r="BO50">
        <v>3.9376354545390999</v>
      </c>
      <c r="BP50">
        <v>0.378151260504201</v>
      </c>
      <c r="BQ50" t="s">
        <v>194</v>
      </c>
      <c r="BR50" s="2">
        <v>519176154</v>
      </c>
      <c r="BS50">
        <v>123.435316853842</v>
      </c>
      <c r="BT50">
        <v>2926.9778327941799</v>
      </c>
      <c r="BU50">
        <v>25619.791984558098</v>
      </c>
      <c r="BV50">
        <v>0.53998901367187502</v>
      </c>
      <c r="BW50">
        <v>106.50261688232401</v>
      </c>
      <c r="BX50">
        <v>0.99233581542968696</v>
      </c>
      <c r="BY50">
        <v>102.29914855957</v>
      </c>
      <c r="BZ50">
        <v>68.640815734863196</v>
      </c>
      <c r="CA50" t="s">
        <v>1055</v>
      </c>
      <c r="CB50" t="s">
        <v>1056</v>
      </c>
      <c r="CC50" t="s">
        <v>1057</v>
      </c>
      <c r="CD50" t="s">
        <v>1058</v>
      </c>
      <c r="CE50" t="s">
        <v>1059</v>
      </c>
      <c r="CF50" t="s">
        <v>1060</v>
      </c>
      <c r="CG50" t="s">
        <v>1061</v>
      </c>
      <c r="CH50">
        <v>103.590755685986</v>
      </c>
      <c r="CI50">
        <v>143.031668027617</v>
      </c>
      <c r="CJ50">
        <v>-3.86924788918415</v>
      </c>
      <c r="CK50">
        <v>18.417743619705401</v>
      </c>
      <c r="CL50">
        <v>107</v>
      </c>
      <c r="CM50">
        <v>1</v>
      </c>
      <c r="CN50">
        <v>94</v>
      </c>
      <c r="CO50">
        <v>104</v>
      </c>
      <c r="CP50">
        <v>107</v>
      </c>
      <c r="CQ50">
        <v>109</v>
      </c>
      <c r="CR50">
        <v>110</v>
      </c>
      <c r="CS50">
        <v>11.959584776555401</v>
      </c>
      <c r="CT50">
        <v>117</v>
      </c>
      <c r="CU50">
        <v>108</v>
      </c>
      <c r="CV50">
        <v>5</v>
      </c>
      <c r="CW50">
        <v>116</v>
      </c>
      <c r="CX50">
        <v>6.6169583236655098</v>
      </c>
      <c r="CY50">
        <v>2.3566936859947898</v>
      </c>
      <c r="CZ50">
        <v>5.5130154071900197</v>
      </c>
      <c r="DA50">
        <v>0.11545030922265399</v>
      </c>
      <c r="DB50">
        <v>2.3474178403755801E-2</v>
      </c>
      <c r="DC50">
        <v>1.3107374915635199</v>
      </c>
      <c r="DD50">
        <v>4.3541756982470501</v>
      </c>
      <c r="DE50">
        <v>1035.9075568598601</v>
      </c>
      <c r="DF50">
        <v>7.9903715047457399E-2</v>
      </c>
      <c r="DG50">
        <v>1.5313185859940799E-3</v>
      </c>
      <c r="DH50">
        <v>818</v>
      </c>
      <c r="DI50">
        <v>105</v>
      </c>
      <c r="DJ50">
        <v>-1349</v>
      </c>
      <c r="DK50">
        <v>110</v>
      </c>
      <c r="DL50">
        <v>0.53998901367187502</v>
      </c>
      <c r="DM50">
        <v>106.50261688232401</v>
      </c>
      <c r="DN50">
        <v>0.99233581542968696</v>
      </c>
      <c r="DO50">
        <v>102.29914855957</v>
      </c>
      <c r="DP50">
        <v>68.640815734863196</v>
      </c>
      <c r="DQ50" t="s">
        <v>1062</v>
      </c>
      <c r="DR50" t="s">
        <v>1063</v>
      </c>
      <c r="DS50" t="s">
        <v>1064</v>
      </c>
      <c r="DT50" t="s">
        <v>1065</v>
      </c>
      <c r="DU50" t="s">
        <v>1059</v>
      </c>
      <c r="DV50" t="s">
        <v>1060</v>
      </c>
      <c r="DW50" t="s">
        <v>1066</v>
      </c>
      <c r="DX50">
        <v>3.7156141824214901E-2</v>
      </c>
      <c r="DY50">
        <v>104.299726113177</v>
      </c>
      <c r="DZ50">
        <v>127.030804672358</v>
      </c>
      <c r="EA50">
        <v>7.95965909521356</v>
      </c>
      <c r="EB50">
        <v>2.3960961429188901</v>
      </c>
      <c r="EC50">
        <v>4.8855059444559998</v>
      </c>
      <c r="ED50">
        <v>98.184411499134796</v>
      </c>
      <c r="EE50">
        <v>7.9596590952147999</v>
      </c>
      <c r="EF50">
        <v>208.599452226354</v>
      </c>
      <c r="EG50">
        <v>386.07063885698</v>
      </c>
      <c r="EH50">
        <v>7.9596590952135404</v>
      </c>
      <c r="EI50">
        <v>1.21918307625442E-2</v>
      </c>
      <c r="EJ50">
        <v>122.052579832449</v>
      </c>
      <c r="EK50">
        <v>4.8855059444559998</v>
      </c>
      <c r="EL50">
        <v>0.43346981264627699</v>
      </c>
      <c r="EM50">
        <v>0.96478702002255401</v>
      </c>
      <c r="EN50">
        <v>0.37301934010396798</v>
      </c>
      <c r="EO50">
        <v>0.992389610683724</v>
      </c>
      <c r="EP50">
        <v>1.69700140578617E-2</v>
      </c>
      <c r="EQ50">
        <v>0.51959455760650997</v>
      </c>
      <c r="ER50">
        <v>10944.4373820399</v>
      </c>
      <c r="ES50">
        <v>386.07063885698</v>
      </c>
      <c r="ET50">
        <v>-30678.262761051701</v>
      </c>
      <c r="EU50">
        <v>3689446.56177093</v>
      </c>
      <c r="EV50">
        <v>0.89799737856556605</v>
      </c>
      <c r="EW50">
        <v>1.6278341657163899</v>
      </c>
      <c r="EX50" s="2">
        <v>4.2014822040884001E-4</v>
      </c>
      <c r="EY50">
        <v>10760.5742079625</v>
      </c>
      <c r="EZ50" s="2">
        <v>3.5516708376979398E-4</v>
      </c>
      <c r="FA50">
        <v>9585.0390950784895</v>
      </c>
      <c r="FB50" s="2">
        <v>7.6698975394535302E-4</v>
      </c>
      <c r="FC50">
        <v>18015.690090272801</v>
      </c>
      <c r="FD50">
        <v>2152.2071790630498</v>
      </c>
      <c r="FE50">
        <v>22892.572923477499</v>
      </c>
      <c r="FF50">
        <v>0.860865737344093</v>
      </c>
      <c r="FG50" s="2">
        <v>1.7909189359472901E-4</v>
      </c>
      <c r="FH50">
        <v>7.8496371855410196E-2</v>
      </c>
      <c r="FI50">
        <v>0.26455555150898602</v>
      </c>
      <c r="FJ50">
        <v>29514.854283815701</v>
      </c>
      <c r="FK50">
        <v>5.9706125407671404</v>
      </c>
      <c r="FL50">
        <v>0.75160878256647801</v>
      </c>
      <c r="FM50">
        <v>1951.09484367708</v>
      </c>
      <c r="FN50" s="2">
        <v>3.3343849772165602E-4</v>
      </c>
      <c r="FO50">
        <v>9105.5449136724201</v>
      </c>
      <c r="FP50" s="2">
        <v>1.84324311340533E-4</v>
      </c>
      <c r="FQ50">
        <v>6438.74987674773</v>
      </c>
      <c r="FR50">
        <v>0.18080952700916</v>
      </c>
      <c r="FS50" s="2">
        <v>22868085.4457536</v>
      </c>
      <c r="FT50">
        <v>228.896873541763</v>
      </c>
      <c r="FU50">
        <v>2.6702855056201999E-2</v>
      </c>
      <c r="FV50">
        <v>4501.7797480167901</v>
      </c>
      <c r="FW50">
        <v>0.52517262576024204</v>
      </c>
      <c r="FX50">
        <v>0.25156272927366102</v>
      </c>
      <c r="FY50">
        <v>348.60711173656898</v>
      </c>
      <c r="FZ50">
        <v>1935.2930129844599</v>
      </c>
      <c r="GA50">
        <v>7.2222133735509004</v>
      </c>
    </row>
    <row r="51" spans="1:183" x14ac:dyDescent="0.2">
      <c r="A51" t="s">
        <v>2489</v>
      </c>
      <c r="B51" t="s">
        <v>182</v>
      </c>
      <c r="C51" t="s">
        <v>1067</v>
      </c>
      <c r="D51" s="1">
        <v>43385</v>
      </c>
      <c r="E51" t="s">
        <v>1068</v>
      </c>
      <c r="F51" t="s">
        <v>185</v>
      </c>
      <c r="G51" t="s">
        <v>186</v>
      </c>
      <c r="H51">
        <v>1</v>
      </c>
      <c r="I51">
        <v>400</v>
      </c>
      <c r="J51">
        <v>10</v>
      </c>
      <c r="K51" t="s">
        <v>187</v>
      </c>
      <c r="L51" t="s">
        <v>1069</v>
      </c>
      <c r="M51">
        <v>2</v>
      </c>
      <c r="N51">
        <v>0.68359375</v>
      </c>
      <c r="O51">
        <v>0.68359375</v>
      </c>
      <c r="P51" t="s">
        <v>1070</v>
      </c>
      <c r="Q51">
        <v>0</v>
      </c>
      <c r="R51" t="s">
        <v>194</v>
      </c>
      <c r="T51">
        <v>93152.794043222995</v>
      </c>
      <c r="U51">
        <v>93461.017608642505</v>
      </c>
      <c r="V51">
        <v>100001</v>
      </c>
      <c r="W51">
        <v>29387.004904725902</v>
      </c>
      <c r="X51">
        <v>0.31547099801526401</v>
      </c>
      <c r="Y51">
        <v>54.080052238134797</v>
      </c>
      <c r="Z51">
        <v>1.0432489618601199E-2</v>
      </c>
      <c r="AA51">
        <v>3.8670355855207499E-2</v>
      </c>
      <c r="AB51">
        <v>2.9571540128853999</v>
      </c>
      <c r="AC51">
        <v>0.33816297549692398</v>
      </c>
      <c r="AD51">
        <v>1.9571540128853999</v>
      </c>
      <c r="AE51" t="s">
        <v>1071</v>
      </c>
      <c r="AF51" t="s">
        <v>1072</v>
      </c>
      <c r="AG51" t="s">
        <v>1073</v>
      </c>
      <c r="AH51" t="s">
        <v>193</v>
      </c>
      <c r="AI51" t="s">
        <v>193</v>
      </c>
      <c r="AJ51" t="s">
        <v>193</v>
      </c>
      <c r="AK51" t="s">
        <v>193</v>
      </c>
      <c r="AL51" t="s">
        <v>193</v>
      </c>
      <c r="AM51" t="s">
        <v>193</v>
      </c>
      <c r="AN51" t="s">
        <v>193</v>
      </c>
      <c r="AO51" t="s">
        <v>193</v>
      </c>
      <c r="AP51" t="s">
        <v>193</v>
      </c>
      <c r="AQ51">
        <v>0.146377446799835</v>
      </c>
      <c r="AR51" t="s">
        <v>193</v>
      </c>
      <c r="AS51" t="s">
        <v>193</v>
      </c>
      <c r="AT51">
        <v>104.259727847477</v>
      </c>
      <c r="AU51" t="s">
        <v>193</v>
      </c>
      <c r="AV51" s="2">
        <v>98582662.685713097</v>
      </c>
      <c r="AW51">
        <v>34.289917100829101</v>
      </c>
      <c r="AX51">
        <v>8566.2657845762096</v>
      </c>
      <c r="AY51">
        <v>-0.34934903711121001</v>
      </c>
      <c r="AZ51">
        <v>112.086031124407</v>
      </c>
      <c r="BA51">
        <v>43</v>
      </c>
      <c r="BB51">
        <v>-1024</v>
      </c>
      <c r="BC51">
        <v>-4</v>
      </c>
      <c r="BD51">
        <v>24</v>
      </c>
      <c r="BE51">
        <v>43</v>
      </c>
      <c r="BF51">
        <v>60</v>
      </c>
      <c r="BG51">
        <v>78</v>
      </c>
      <c r="BH51">
        <v>92.554123541721296</v>
      </c>
      <c r="BI51">
        <v>2783</v>
      </c>
      <c r="BJ51">
        <v>36</v>
      </c>
      <c r="BK51">
        <v>3807</v>
      </c>
      <c r="BL51">
        <v>36.932431860470899</v>
      </c>
      <c r="BM51">
        <v>15.561456682336701</v>
      </c>
      <c r="BN51">
        <v>35.804391956080401</v>
      </c>
      <c r="BO51">
        <v>2.6991644007060902</v>
      </c>
      <c r="BP51">
        <v>0.42857142857142799</v>
      </c>
      <c r="BQ51" t="s">
        <v>194</v>
      </c>
      <c r="BR51" s="2">
        <v>974216162</v>
      </c>
      <c r="BS51">
        <v>98.701895621907894</v>
      </c>
      <c r="BT51">
        <v>3204.7705459594799</v>
      </c>
      <c r="BU51">
        <v>109990.36788940401</v>
      </c>
      <c r="BV51">
        <v>0.51309582519531205</v>
      </c>
      <c r="BW51">
        <v>80.382514953613196</v>
      </c>
      <c r="BX51">
        <v>1.03460314941406</v>
      </c>
      <c r="BY51">
        <v>70.651306152343693</v>
      </c>
      <c r="BZ51">
        <v>121.884521484375</v>
      </c>
      <c r="CA51" t="s">
        <v>1074</v>
      </c>
      <c r="CB51" t="s">
        <v>1075</v>
      </c>
      <c r="CC51" t="s">
        <v>1076</v>
      </c>
      <c r="CD51" t="s">
        <v>1077</v>
      </c>
      <c r="CE51" t="s">
        <v>1078</v>
      </c>
      <c r="CF51" t="s">
        <v>1079</v>
      </c>
      <c r="CG51" t="s">
        <v>1080</v>
      </c>
      <c r="CH51">
        <v>103.978910210897</v>
      </c>
      <c r="CI51">
        <v>85.654988666461605</v>
      </c>
      <c r="CJ51">
        <v>-0.33397326577594699</v>
      </c>
      <c r="CK51">
        <v>111.82991996496899</v>
      </c>
      <c r="CL51">
        <v>105</v>
      </c>
      <c r="CM51">
        <v>1</v>
      </c>
      <c r="CN51">
        <v>100</v>
      </c>
      <c r="CO51">
        <v>103</v>
      </c>
      <c r="CP51">
        <v>105</v>
      </c>
      <c r="CQ51">
        <v>107</v>
      </c>
      <c r="CR51">
        <v>108</v>
      </c>
      <c r="CS51">
        <v>9.2549980370857803</v>
      </c>
      <c r="CT51">
        <v>379</v>
      </c>
      <c r="CU51">
        <v>105</v>
      </c>
      <c r="CV51">
        <v>4</v>
      </c>
      <c r="CW51">
        <v>378</v>
      </c>
      <c r="CX51">
        <v>3.68348215379052</v>
      </c>
      <c r="CY51">
        <v>1.6407426886019101</v>
      </c>
      <c r="CZ51">
        <v>3.5711442885571101</v>
      </c>
      <c r="DA51">
        <v>8.9008415440344005E-2</v>
      </c>
      <c r="DB51">
        <v>1.9047619047619001E-2</v>
      </c>
      <c r="DC51">
        <v>1.20086875933253</v>
      </c>
      <c r="DD51">
        <v>3.9891996698992398</v>
      </c>
      <c r="DE51">
        <v>1039.7891021084799</v>
      </c>
      <c r="DF51">
        <v>9.5475221586020495E-2</v>
      </c>
      <c r="DG51" s="2">
        <v>9.7710934313080902E-4</v>
      </c>
      <c r="DH51">
        <v>3871</v>
      </c>
      <c r="DI51">
        <v>103</v>
      </c>
      <c r="DJ51">
        <v>-3776.5</v>
      </c>
      <c r="DK51">
        <v>107</v>
      </c>
      <c r="DL51">
        <v>0.51309582519531205</v>
      </c>
      <c r="DM51">
        <v>80.382514953613196</v>
      </c>
      <c r="DN51">
        <v>1.03460314941406</v>
      </c>
      <c r="DO51">
        <v>70.651306152343693</v>
      </c>
      <c r="DP51">
        <v>121.884521484375</v>
      </c>
      <c r="DQ51" t="s">
        <v>1081</v>
      </c>
      <c r="DR51" t="s">
        <v>1082</v>
      </c>
      <c r="DS51" t="s">
        <v>1083</v>
      </c>
      <c r="DT51" t="s">
        <v>1084</v>
      </c>
      <c r="DU51" t="s">
        <v>1078</v>
      </c>
      <c r="DV51" t="s">
        <v>1079</v>
      </c>
      <c r="DW51" t="s">
        <v>1085</v>
      </c>
      <c r="DX51">
        <v>3.5298462015727901E-2</v>
      </c>
      <c r="DY51">
        <v>104.273967604592</v>
      </c>
      <c r="DZ51">
        <v>56.475401049384097</v>
      </c>
      <c r="EA51">
        <v>7.2597844079417397</v>
      </c>
      <c r="EB51">
        <v>2.1854128688439398</v>
      </c>
      <c r="EC51">
        <v>2.83869364315699</v>
      </c>
      <c r="ED51">
        <v>35.664549386571899</v>
      </c>
      <c r="EE51">
        <v>7.2597844079404803</v>
      </c>
      <c r="EF51">
        <v>208.547935209185</v>
      </c>
      <c r="EG51">
        <v>182.17887321126099</v>
      </c>
      <c r="EH51">
        <v>7.2597844079416998</v>
      </c>
      <c r="EI51">
        <v>1.43509325071564E-2</v>
      </c>
      <c r="EJ51">
        <v>43.722730986272403</v>
      </c>
      <c r="EK51">
        <v>2.83869364315699</v>
      </c>
      <c r="EL51">
        <v>0.44936041186202402</v>
      </c>
      <c r="EM51">
        <v>0.99277950737063902</v>
      </c>
      <c r="EN51">
        <v>0.380319751242017</v>
      </c>
      <c r="EO51">
        <v>0.99970465397348296</v>
      </c>
      <c r="EP51">
        <v>7.4458646711761806E-2</v>
      </c>
      <c r="EQ51">
        <v>0.61290464366920105</v>
      </c>
      <c r="ER51">
        <v>10907.6743555597</v>
      </c>
      <c r="ES51">
        <v>182.17887321126099</v>
      </c>
      <c r="ET51">
        <v>-2869.3691447474398</v>
      </c>
      <c r="EU51">
        <v>4518643.95452601</v>
      </c>
      <c r="EV51">
        <v>0.88932008909927995</v>
      </c>
      <c r="EW51">
        <v>1.60319332549964</v>
      </c>
      <c r="EX51" s="2">
        <v>4.58252833542405E-4</v>
      </c>
      <c r="EY51">
        <v>10880.934725834801</v>
      </c>
      <c r="EZ51" s="2">
        <v>4.2464372371419501E-4</v>
      </c>
      <c r="FA51">
        <v>9664.5541636588805</v>
      </c>
      <c r="FB51" s="2">
        <v>6.6537119537642304E-4</v>
      </c>
      <c r="FC51">
        <v>17510.7888732274</v>
      </c>
      <c r="FD51">
        <v>7628.0648448601296</v>
      </c>
      <c r="FE51">
        <v>64137.0828326724</v>
      </c>
      <c r="FF51">
        <v>0.85266378105449703</v>
      </c>
      <c r="FG51" s="2">
        <v>8.4994123860057498E-5</v>
      </c>
      <c r="FH51">
        <v>6.3048603647598497E-3</v>
      </c>
      <c r="FI51">
        <v>0.25425251668295501</v>
      </c>
      <c r="FJ51">
        <v>65600.865407641206</v>
      </c>
      <c r="FK51">
        <v>18.943862395598199</v>
      </c>
      <c r="FL51">
        <v>0.68705714085310399</v>
      </c>
      <c r="FM51">
        <v>18310.884753336799</v>
      </c>
      <c r="FN51" s="2">
        <v>9.1536371863413005E-4</v>
      </c>
      <c r="FO51">
        <v>10481.376550831999</v>
      </c>
      <c r="FP51" s="2">
        <v>5.6373108970882797E-4</v>
      </c>
      <c r="FQ51">
        <v>7086.7348464964598</v>
      </c>
      <c r="FR51">
        <v>1.6735666866710299</v>
      </c>
      <c r="FS51" s="2">
        <v>202104257.81389999</v>
      </c>
      <c r="FT51">
        <v>625.49685423648998</v>
      </c>
      <c r="FU51">
        <v>3.6778788395160203E-2</v>
      </c>
      <c r="FV51">
        <v>7419.1050155818102</v>
      </c>
      <c r="FW51">
        <v>0.43623831455176199</v>
      </c>
      <c r="FX51">
        <v>0.17006829931700601</v>
      </c>
      <c r="FY51">
        <v>410.63389752017002</v>
      </c>
      <c r="FZ51">
        <v>18276.310463973499</v>
      </c>
      <c r="GA51">
        <v>7.3517878714326601</v>
      </c>
    </row>
    <row r="52" spans="1:183" x14ac:dyDescent="0.2">
      <c r="A52" t="s">
        <v>2490</v>
      </c>
      <c r="B52" t="s">
        <v>182</v>
      </c>
      <c r="C52" t="s">
        <v>1086</v>
      </c>
      <c r="D52" s="1">
        <v>42625</v>
      </c>
      <c r="E52" t="s">
        <v>1087</v>
      </c>
      <c r="F52" t="s">
        <v>185</v>
      </c>
      <c r="G52" t="s">
        <v>186</v>
      </c>
      <c r="H52">
        <v>1</v>
      </c>
      <c r="I52">
        <v>400</v>
      </c>
      <c r="J52">
        <v>10</v>
      </c>
      <c r="K52" t="s">
        <v>187</v>
      </c>
      <c r="L52" t="s">
        <v>1088</v>
      </c>
      <c r="M52">
        <v>5</v>
      </c>
      <c r="N52">
        <v>0.6328125</v>
      </c>
      <c r="O52">
        <v>0.6328125</v>
      </c>
      <c r="P52" t="s">
        <v>1089</v>
      </c>
      <c r="Q52">
        <v>0</v>
      </c>
      <c r="R52" t="s">
        <v>194</v>
      </c>
      <c r="T52">
        <v>22802.885513305599</v>
      </c>
      <c r="U52">
        <v>22899.828186035102</v>
      </c>
      <c r="V52">
        <v>11437</v>
      </c>
      <c r="W52">
        <v>6255.0000824041799</v>
      </c>
      <c r="X52">
        <v>0.27430739319172298</v>
      </c>
      <c r="Y52">
        <v>21.6945763078702</v>
      </c>
      <c r="Z52">
        <v>2.6006019916742101E-2</v>
      </c>
      <c r="AA52">
        <v>0.24029792895733501</v>
      </c>
      <c r="AB52">
        <v>1.60848367475002</v>
      </c>
      <c r="AC52">
        <v>0.62170354334209299</v>
      </c>
      <c r="AD52">
        <v>0.60848367475001996</v>
      </c>
      <c r="AE52" t="s">
        <v>1090</v>
      </c>
      <c r="AF52" t="s">
        <v>1091</v>
      </c>
      <c r="AG52" t="s">
        <v>1092</v>
      </c>
      <c r="AH52" t="s">
        <v>193</v>
      </c>
      <c r="AI52" t="s">
        <v>193</v>
      </c>
      <c r="AJ52" t="s">
        <v>193</v>
      </c>
      <c r="AK52" t="s">
        <v>193</v>
      </c>
      <c r="AL52" t="s">
        <v>193</v>
      </c>
      <c r="AM52" t="s">
        <v>193</v>
      </c>
      <c r="AN52" t="s">
        <v>193</v>
      </c>
      <c r="AO52" t="s">
        <v>193</v>
      </c>
      <c r="AP52" t="s">
        <v>193</v>
      </c>
      <c r="AQ52">
        <v>0.22851787739040899</v>
      </c>
      <c r="AR52" t="s">
        <v>193</v>
      </c>
      <c r="AS52" t="s">
        <v>193</v>
      </c>
      <c r="AT52">
        <v>56.9646906659381</v>
      </c>
      <c r="AU52" t="s">
        <v>193</v>
      </c>
      <c r="AV52">
        <v>9850495.6361040492</v>
      </c>
      <c r="AW52">
        <v>31.984611349130301</v>
      </c>
      <c r="AX52">
        <v>1151.47602444675</v>
      </c>
      <c r="AY52">
        <v>-2.4526700086998798</v>
      </c>
      <c r="AZ52">
        <v>18.996282129388302</v>
      </c>
      <c r="BA52">
        <v>34</v>
      </c>
      <c r="BB52">
        <v>-400</v>
      </c>
      <c r="BC52">
        <v>5</v>
      </c>
      <c r="BD52">
        <v>20</v>
      </c>
      <c r="BE52">
        <v>34</v>
      </c>
      <c r="BF52">
        <v>48</v>
      </c>
      <c r="BG52">
        <v>63</v>
      </c>
      <c r="BH52">
        <v>33.933405730146703</v>
      </c>
      <c r="BI52">
        <v>265</v>
      </c>
      <c r="BJ52">
        <v>28</v>
      </c>
      <c r="BK52">
        <v>665</v>
      </c>
      <c r="BL52">
        <v>21.082418466838298</v>
      </c>
      <c r="BM52">
        <v>11.8718256413223</v>
      </c>
      <c r="BN52">
        <v>20.9974643700271</v>
      </c>
      <c r="BO52">
        <v>1.0609291249389901</v>
      </c>
      <c r="BP52">
        <v>0.41176470588235198</v>
      </c>
      <c r="BQ52" t="s">
        <v>194</v>
      </c>
      <c r="BR52" s="2">
        <v>24869658</v>
      </c>
      <c r="BS52">
        <v>46.631442049347299</v>
      </c>
      <c r="BT52">
        <v>732.44210449219395</v>
      </c>
      <c r="BU52">
        <v>7222.8131103515598</v>
      </c>
      <c r="BV52">
        <v>0.51057586669921795</v>
      </c>
      <c r="BW52">
        <v>61.2862739562988</v>
      </c>
      <c r="BX52">
        <v>0.97509979248046796</v>
      </c>
      <c r="BY52">
        <v>54.9425048828125</v>
      </c>
      <c r="BZ52" t="s">
        <v>194</v>
      </c>
      <c r="CA52" t="s">
        <v>1093</v>
      </c>
      <c r="CB52" t="s">
        <v>1094</v>
      </c>
      <c r="CC52" t="s">
        <v>1095</v>
      </c>
      <c r="CD52" t="s">
        <v>1096</v>
      </c>
      <c r="CE52" t="s">
        <v>1097</v>
      </c>
      <c r="CF52" t="s">
        <v>1098</v>
      </c>
      <c r="CG52" t="s">
        <v>1099</v>
      </c>
      <c r="CH52">
        <v>103.754568505726</v>
      </c>
      <c r="CI52">
        <v>11.575069843103501</v>
      </c>
      <c r="CJ52">
        <v>-2.4168035836900099</v>
      </c>
      <c r="CK52">
        <v>18.634175465732401</v>
      </c>
      <c r="CL52">
        <v>104</v>
      </c>
      <c r="CM52">
        <v>61</v>
      </c>
      <c r="CN52">
        <v>101</v>
      </c>
      <c r="CO52">
        <v>103</v>
      </c>
      <c r="CP52">
        <v>104</v>
      </c>
      <c r="CQ52">
        <v>105</v>
      </c>
      <c r="CR52">
        <v>107</v>
      </c>
      <c r="CS52">
        <v>3.4022154316126798</v>
      </c>
      <c r="CT52">
        <v>127</v>
      </c>
      <c r="CU52">
        <v>104</v>
      </c>
      <c r="CV52">
        <v>2</v>
      </c>
      <c r="CW52">
        <v>66</v>
      </c>
      <c r="CX52">
        <v>2.1291738848239499</v>
      </c>
      <c r="CY52">
        <v>1.27727854215959</v>
      </c>
      <c r="CZ52">
        <v>2.0850747573664399</v>
      </c>
      <c r="DA52">
        <v>3.2790993983314497E-2</v>
      </c>
      <c r="DB52">
        <v>9.6153846153846107E-3</v>
      </c>
      <c r="DC52">
        <v>1.04158776593436</v>
      </c>
      <c r="DD52">
        <v>3.4600796629483201</v>
      </c>
      <c r="DE52">
        <v>1037.54568505728</v>
      </c>
      <c r="DF52">
        <v>0.12472172215414799</v>
      </c>
      <c r="DG52">
        <v>3.3022883234526501E-3</v>
      </c>
      <c r="DH52">
        <v>696.5</v>
      </c>
      <c r="DI52">
        <v>102</v>
      </c>
      <c r="DJ52">
        <v>-606</v>
      </c>
      <c r="DK52">
        <v>106</v>
      </c>
      <c r="DL52">
        <v>0.51057586669921795</v>
      </c>
      <c r="DM52">
        <v>61.2862739562988</v>
      </c>
      <c r="DN52">
        <v>0.97509979248046796</v>
      </c>
      <c r="DO52">
        <v>54.9425048828125</v>
      </c>
      <c r="DP52" t="s">
        <v>194</v>
      </c>
      <c r="DQ52" t="s">
        <v>1100</v>
      </c>
      <c r="DR52" t="s">
        <v>1101</v>
      </c>
      <c r="DS52" t="s">
        <v>1102</v>
      </c>
      <c r="DT52" t="s">
        <v>1103</v>
      </c>
      <c r="DU52" t="s">
        <v>1097</v>
      </c>
      <c r="DV52" t="s">
        <v>1098</v>
      </c>
      <c r="DW52" t="s">
        <v>1104</v>
      </c>
      <c r="DX52">
        <v>6.7929696804709505E-2</v>
      </c>
      <c r="DY52">
        <v>104.017001565318</v>
      </c>
      <c r="DZ52">
        <v>8.4262898762353498</v>
      </c>
      <c r="EA52">
        <v>6.2071614704461497</v>
      </c>
      <c r="EB52">
        <v>1.86854179053403</v>
      </c>
      <c r="EC52">
        <v>1.70681764045326</v>
      </c>
      <c r="ED52">
        <v>6.0529575691882798</v>
      </c>
      <c r="EE52">
        <v>6.2071614704461497</v>
      </c>
      <c r="EF52">
        <v>208.03400313063599</v>
      </c>
      <c r="EG52">
        <v>4.9181352571456401E-2</v>
      </c>
      <c r="EH52" s="2">
        <v>1.5179237815256201E-4</v>
      </c>
      <c r="EI52">
        <v>2.6871219645530599E-2</v>
      </c>
      <c r="EJ52">
        <v>8.9661840269506907</v>
      </c>
      <c r="EK52">
        <v>1.70681764045326</v>
      </c>
      <c r="EL52">
        <v>0.54969377785778295</v>
      </c>
      <c r="EM52">
        <v>0.97624979709426496</v>
      </c>
      <c r="EN52">
        <v>0.50260456230115602</v>
      </c>
      <c r="EO52">
        <v>0.99808577223742501</v>
      </c>
      <c r="EP52">
        <v>0</v>
      </c>
      <c r="EQ52">
        <v>0.46796370890123101</v>
      </c>
      <c r="ER52">
        <v>10823.479812502101</v>
      </c>
      <c r="ES52">
        <v>4.9181352571456401E-2</v>
      </c>
      <c r="ET52">
        <v>-201.76765811701901</v>
      </c>
      <c r="EU52">
        <v>10535.8097835754</v>
      </c>
      <c r="EV52">
        <v>0.83879632771606105</v>
      </c>
      <c r="EW52">
        <v>2.3481989145394699</v>
      </c>
      <c r="EX52" s="2">
        <v>9.3511460126074903E-5</v>
      </c>
      <c r="EY52">
        <v>10756.8186320486</v>
      </c>
      <c r="EZ52" s="2">
        <v>7.8628005666674005E-5</v>
      </c>
      <c r="FA52">
        <v>9008.2051373971699</v>
      </c>
      <c r="FB52" s="2">
        <v>2.18151419994749E-4</v>
      </c>
      <c r="FC52">
        <v>25357.526216570001</v>
      </c>
      <c r="FD52">
        <v>1025.4518108137099</v>
      </c>
      <c r="FE52">
        <v>6186.2755533016398</v>
      </c>
      <c r="FF52">
        <v>0.78393338758819198</v>
      </c>
      <c r="FG52" s="2">
        <v>7.9747350260379499E-4</v>
      </c>
      <c r="FH52">
        <v>9.8179656439363692E-3</v>
      </c>
      <c r="FI52">
        <v>0.126457888423708</v>
      </c>
      <c r="FJ52">
        <v>2063.32321896433</v>
      </c>
      <c r="FK52">
        <v>2.7507306206895299</v>
      </c>
      <c r="FL52">
        <v>0.65388570298444604</v>
      </c>
      <c r="FM52">
        <v>7829.9726735598197</v>
      </c>
      <c r="FN52" s="2">
        <v>9.93569262790979E-5</v>
      </c>
      <c r="FO52">
        <v>10290.876661742899</v>
      </c>
      <c r="FP52" s="2">
        <v>6.6557294693339995E-5</v>
      </c>
      <c r="FQ52">
        <v>6604.1370442774896</v>
      </c>
      <c r="FR52">
        <v>0.72395330421790505</v>
      </c>
      <c r="FS52" s="2">
        <v>84725914.195716396</v>
      </c>
      <c r="FT52">
        <v>66.521418020679405</v>
      </c>
      <c r="FU52">
        <v>4.9129555406705598E-2</v>
      </c>
      <c r="FV52">
        <v>535.67946824224498</v>
      </c>
      <c r="FW52">
        <v>0.39562737684065302</v>
      </c>
      <c r="FX52">
        <v>0.118387689079304</v>
      </c>
      <c r="FY52">
        <v>50.901542887314598</v>
      </c>
      <c r="FZ52">
        <v>7758.62383407988</v>
      </c>
      <c r="GA52">
        <v>6.6168525452639697</v>
      </c>
    </row>
    <row r="53" spans="1:183" x14ac:dyDescent="0.2">
      <c r="A53" t="s">
        <v>2491</v>
      </c>
      <c r="B53" t="s">
        <v>182</v>
      </c>
      <c r="C53" t="s">
        <v>1105</v>
      </c>
      <c r="D53" s="1">
        <v>43284</v>
      </c>
      <c r="E53" t="s">
        <v>362</v>
      </c>
      <c r="F53" t="s">
        <v>185</v>
      </c>
      <c r="G53" t="s">
        <v>186</v>
      </c>
      <c r="H53">
        <v>1</v>
      </c>
      <c r="I53">
        <v>400</v>
      </c>
      <c r="J53">
        <v>10</v>
      </c>
      <c r="K53" t="s">
        <v>187</v>
      </c>
      <c r="L53" t="s">
        <v>1106</v>
      </c>
      <c r="M53">
        <v>5</v>
      </c>
      <c r="N53">
        <v>0.6328125</v>
      </c>
      <c r="O53">
        <v>0.6328125</v>
      </c>
      <c r="P53" t="s">
        <v>1107</v>
      </c>
      <c r="Q53">
        <v>0</v>
      </c>
      <c r="R53" t="s">
        <v>194</v>
      </c>
      <c r="T53">
        <v>16648.527488708402</v>
      </c>
      <c r="U53">
        <v>16766.9110107421</v>
      </c>
      <c r="V53">
        <v>8374</v>
      </c>
      <c r="W53">
        <v>6384.17051387427</v>
      </c>
      <c r="X53">
        <v>0.383467578030801</v>
      </c>
      <c r="Y53">
        <v>30.639444662881999</v>
      </c>
      <c r="Z53">
        <v>1.8413831900525202E-2</v>
      </c>
      <c r="AA53">
        <v>0.120473241138572</v>
      </c>
      <c r="AB53">
        <v>2.02474251350796</v>
      </c>
      <c r="AC53">
        <v>0.493889960490556</v>
      </c>
      <c r="AD53">
        <v>1.02474251350796</v>
      </c>
      <c r="AE53" t="s">
        <v>1108</v>
      </c>
      <c r="AF53" t="s">
        <v>1109</v>
      </c>
      <c r="AG53" t="s">
        <v>1110</v>
      </c>
      <c r="AH53" t="s">
        <v>193</v>
      </c>
      <c r="AI53" t="s">
        <v>193</v>
      </c>
      <c r="AJ53" t="s">
        <v>193</v>
      </c>
      <c r="AK53" t="s">
        <v>193</v>
      </c>
      <c r="AL53" t="s">
        <v>193</v>
      </c>
      <c r="AM53" t="s">
        <v>193</v>
      </c>
      <c r="AN53" t="s">
        <v>193</v>
      </c>
      <c r="AO53" t="s">
        <v>193</v>
      </c>
      <c r="AP53" t="s">
        <v>193</v>
      </c>
      <c r="AQ53">
        <v>7.1561955040667799E-2</v>
      </c>
      <c r="AR53" t="s">
        <v>193</v>
      </c>
      <c r="AS53" t="s">
        <v>193</v>
      </c>
      <c r="AT53">
        <v>67.922294648749599</v>
      </c>
      <c r="AU53" t="s">
        <v>193</v>
      </c>
      <c r="AV53">
        <v>5384949.7148162397</v>
      </c>
      <c r="AW53">
        <v>45.449008836875798</v>
      </c>
      <c r="AX53">
        <v>1810.1575981338999</v>
      </c>
      <c r="AY53">
        <v>-2.7262782534137302</v>
      </c>
      <c r="AZ53">
        <v>10.035456116081299</v>
      </c>
      <c r="BA53">
        <v>57</v>
      </c>
      <c r="BB53">
        <v>-278</v>
      </c>
      <c r="BC53">
        <v>-3</v>
      </c>
      <c r="BD53">
        <v>40</v>
      </c>
      <c r="BE53">
        <v>57</v>
      </c>
      <c r="BF53">
        <v>68</v>
      </c>
      <c r="BG53">
        <v>78</v>
      </c>
      <c r="BH53">
        <v>42.5459469060673</v>
      </c>
      <c r="BI53">
        <v>116</v>
      </c>
      <c r="BJ53">
        <v>28</v>
      </c>
      <c r="BK53">
        <v>394</v>
      </c>
      <c r="BL53">
        <v>27.341799760184099</v>
      </c>
      <c r="BM53">
        <v>13.4654925504829</v>
      </c>
      <c r="BN53">
        <v>24.827561499880499</v>
      </c>
      <c r="BO53">
        <v>0.936124857172836</v>
      </c>
      <c r="BP53">
        <v>0.25925925925925902</v>
      </c>
      <c r="BQ53" t="s">
        <v>194</v>
      </c>
      <c r="BR53" s="2">
        <v>32455698</v>
      </c>
      <c r="BS53">
        <v>62.2556824907441</v>
      </c>
      <c r="BT53">
        <v>762.039486694331</v>
      </c>
      <c r="BU53">
        <v>0</v>
      </c>
      <c r="BV53">
        <v>0.51057586669921795</v>
      </c>
      <c r="BW53">
        <v>73.745094299316406</v>
      </c>
      <c r="BX53">
        <v>0.97509979248046796</v>
      </c>
      <c r="BY53">
        <v>65.919914245605398</v>
      </c>
      <c r="BZ53" t="s">
        <v>194</v>
      </c>
      <c r="CA53" t="s">
        <v>1111</v>
      </c>
      <c r="CB53" t="s">
        <v>1112</v>
      </c>
      <c r="CC53" t="s">
        <v>1113</v>
      </c>
      <c r="CD53" t="s">
        <v>1114</v>
      </c>
      <c r="CE53" t="s">
        <v>1115</v>
      </c>
      <c r="CF53" t="s">
        <v>1116</v>
      </c>
      <c r="CG53" t="s">
        <v>1117</v>
      </c>
      <c r="CH53">
        <v>105.09410078815399</v>
      </c>
      <c r="CI53">
        <v>18.197975708017101</v>
      </c>
      <c r="CJ53">
        <v>-2.7070727601144</v>
      </c>
      <c r="CK53">
        <v>9.9502376317581192</v>
      </c>
      <c r="CL53">
        <v>106</v>
      </c>
      <c r="CM53">
        <v>73</v>
      </c>
      <c r="CN53">
        <v>100</v>
      </c>
      <c r="CO53">
        <v>105</v>
      </c>
      <c r="CP53">
        <v>106</v>
      </c>
      <c r="CQ53">
        <v>107</v>
      </c>
      <c r="CR53">
        <v>108</v>
      </c>
      <c r="CS53">
        <v>4.2659085442631204</v>
      </c>
      <c r="CT53">
        <v>112</v>
      </c>
      <c r="CU53">
        <v>107</v>
      </c>
      <c r="CV53">
        <v>2</v>
      </c>
      <c r="CW53">
        <v>39</v>
      </c>
      <c r="CX53">
        <v>2.7370198418579799</v>
      </c>
      <c r="CY53">
        <v>1.43816139716814</v>
      </c>
      <c r="CZ53">
        <v>2.4838786720802402</v>
      </c>
      <c r="DA53">
        <v>4.0591322560171401E-2</v>
      </c>
      <c r="DB53">
        <v>9.4339622641509396E-3</v>
      </c>
      <c r="DC53">
        <v>1.0549246460438899</v>
      </c>
      <c r="DD53">
        <v>3.5043838196823298</v>
      </c>
      <c r="DE53">
        <v>1050.9410078815199</v>
      </c>
      <c r="DF53">
        <v>0.130715649545669</v>
      </c>
      <c r="DG53">
        <v>3.9509116159195303E-3</v>
      </c>
      <c r="DH53">
        <v>549.5</v>
      </c>
      <c r="DI53">
        <v>105</v>
      </c>
      <c r="DJ53">
        <v>-709.5</v>
      </c>
      <c r="DK53">
        <v>108</v>
      </c>
      <c r="DL53">
        <v>0.51057586669921795</v>
      </c>
      <c r="DM53">
        <v>73.745094299316406</v>
      </c>
      <c r="DN53">
        <v>0.97509979248046796</v>
      </c>
      <c r="DO53">
        <v>65.919914245605398</v>
      </c>
      <c r="DP53" t="s">
        <v>194</v>
      </c>
      <c r="DQ53" t="s">
        <v>1118</v>
      </c>
      <c r="DR53" t="s">
        <v>1119</v>
      </c>
      <c r="DS53" t="s">
        <v>1120</v>
      </c>
      <c r="DT53" t="s">
        <v>1121</v>
      </c>
      <c r="DU53" t="s">
        <v>1115</v>
      </c>
      <c r="DV53" t="s">
        <v>1116</v>
      </c>
      <c r="DW53" t="s">
        <v>1122</v>
      </c>
      <c r="DX53">
        <v>8.6580299417389803E-2</v>
      </c>
      <c r="DY53">
        <v>105.568204724796</v>
      </c>
      <c r="DZ53">
        <v>13.493793259201301</v>
      </c>
      <c r="EA53">
        <v>6.3861058145001701</v>
      </c>
      <c r="EB53">
        <v>1.92240940564871</v>
      </c>
      <c r="EC53">
        <v>2.4246662897318001</v>
      </c>
      <c r="ED53">
        <v>12.8108579327142</v>
      </c>
      <c r="EE53">
        <v>6.3861058145000396</v>
      </c>
      <c r="EF53">
        <v>211.136409449593</v>
      </c>
      <c r="EG53">
        <v>0</v>
      </c>
      <c r="EH53">
        <v>0</v>
      </c>
      <c r="EI53">
        <v>2.8940601694988799E-2</v>
      </c>
      <c r="EJ53">
        <v>18.689864549275999</v>
      </c>
      <c r="EK53">
        <v>2.4246662897318001</v>
      </c>
      <c r="EL53">
        <v>0.50849202027669804</v>
      </c>
      <c r="EM53">
        <v>0.94831136619342205</v>
      </c>
      <c r="EN53">
        <v>0.45634330556457198</v>
      </c>
      <c r="EO53">
        <v>0.98966408398545402</v>
      </c>
      <c r="EP53">
        <v>0</v>
      </c>
      <c r="EQ53">
        <v>0.30746439528664299</v>
      </c>
      <c r="ER53">
        <v>11148.794709801101</v>
      </c>
      <c r="ES53">
        <v>0</v>
      </c>
      <c r="ET53">
        <v>-530.58619394821596</v>
      </c>
      <c r="EU53">
        <v>16353.4414992251</v>
      </c>
      <c r="EV53">
        <v>0.86401218139219904</v>
      </c>
      <c r="EW53">
        <v>1.99298825382539</v>
      </c>
      <c r="EX53" s="2">
        <v>9.17837313124375E-5</v>
      </c>
      <c r="EY53">
        <v>10991.947091099801</v>
      </c>
      <c r="EZ53" s="2">
        <v>7.9776952201001793E-5</v>
      </c>
      <c r="FA53">
        <v>9449.7304134443602</v>
      </c>
      <c r="FB53" s="2">
        <v>1.7927816204875999E-4</v>
      </c>
      <c r="FC53">
        <v>22273.144096759199</v>
      </c>
      <c r="FD53">
        <v>788.56965158828405</v>
      </c>
      <c r="FE53">
        <v>4961.6925243920296</v>
      </c>
      <c r="FF53">
        <v>0.81571163491392695</v>
      </c>
      <c r="FG53" s="2">
        <v>7.57124115723723E-4</v>
      </c>
      <c r="FH53">
        <v>4.6448401773764698E-2</v>
      </c>
      <c r="FI53">
        <v>0.19793192693487399</v>
      </c>
      <c r="FJ53">
        <v>1739.28596824486</v>
      </c>
      <c r="FK53">
        <v>1.4878514288209099</v>
      </c>
      <c r="FL53">
        <v>0.71446517507446405</v>
      </c>
      <c r="FM53">
        <v>3415.9545741324901</v>
      </c>
      <c r="FN53" s="2">
        <v>1.01135907372707E-4</v>
      </c>
      <c r="FO53">
        <v>10070.932492113499</v>
      </c>
      <c r="FP53" s="2">
        <v>7.4173657861071997E-5</v>
      </c>
      <c r="FQ53">
        <v>7018.3824814751197</v>
      </c>
      <c r="FR53">
        <v>0.30034051971117298</v>
      </c>
      <c r="FS53" s="2">
        <v>38858988.040378504</v>
      </c>
      <c r="FT53">
        <v>83.190536277602504</v>
      </c>
      <c r="FU53">
        <v>5.2486142761894297E-2</v>
      </c>
      <c r="FV53">
        <v>748.58990536277599</v>
      </c>
      <c r="FW53">
        <v>0.47229647026042598</v>
      </c>
      <c r="FX53">
        <v>0.189276331502268</v>
      </c>
      <c r="FY53">
        <v>42.142083611141501</v>
      </c>
      <c r="FZ53">
        <v>3388.0415185741699</v>
      </c>
      <c r="GA53">
        <v>6.1461305988419204</v>
      </c>
    </row>
    <row r="54" spans="1:183" x14ac:dyDescent="0.2">
      <c r="A54" t="s">
        <v>2492</v>
      </c>
      <c r="B54" t="s">
        <v>182</v>
      </c>
      <c r="C54" t="s">
        <v>1123</v>
      </c>
      <c r="D54" s="1">
        <v>43462</v>
      </c>
      <c r="E54" t="s">
        <v>362</v>
      </c>
      <c r="F54" t="s">
        <v>185</v>
      </c>
      <c r="G54" t="s">
        <v>186</v>
      </c>
      <c r="H54">
        <v>1</v>
      </c>
      <c r="I54">
        <v>400</v>
      </c>
      <c r="J54">
        <v>10</v>
      </c>
      <c r="K54" t="s">
        <v>187</v>
      </c>
      <c r="L54" t="s">
        <v>1124</v>
      </c>
      <c r="M54">
        <v>2</v>
      </c>
      <c r="N54">
        <v>0.787109375</v>
      </c>
      <c r="O54">
        <v>0.787109375</v>
      </c>
      <c r="P54" t="s">
        <v>1125</v>
      </c>
      <c r="Q54">
        <v>0</v>
      </c>
      <c r="R54" t="s">
        <v>194</v>
      </c>
      <c r="T54">
        <v>17946.920189221699</v>
      </c>
      <c r="U54">
        <v>18013.779006958001</v>
      </c>
      <c r="V54">
        <v>14538</v>
      </c>
      <c r="W54">
        <v>4839.0370907430297</v>
      </c>
      <c r="X54">
        <v>0.26963050148566398</v>
      </c>
      <c r="Y54">
        <v>18.7563571995268</v>
      </c>
      <c r="Z54">
        <v>3.0079912508916701E-2</v>
      </c>
      <c r="AA54">
        <v>0.32148105405645999</v>
      </c>
      <c r="AB54">
        <v>1.45976026808125</v>
      </c>
      <c r="AC54">
        <v>0.68504399103451896</v>
      </c>
      <c r="AD54">
        <v>0.45976026808125098</v>
      </c>
      <c r="AE54" t="s">
        <v>1126</v>
      </c>
      <c r="AF54" t="s">
        <v>1127</v>
      </c>
      <c r="AG54" t="s">
        <v>1128</v>
      </c>
      <c r="AH54" t="s">
        <v>193</v>
      </c>
      <c r="AI54" t="s">
        <v>193</v>
      </c>
      <c r="AJ54" t="s">
        <v>193</v>
      </c>
      <c r="AK54" t="s">
        <v>193</v>
      </c>
      <c r="AL54" t="s">
        <v>193</v>
      </c>
      <c r="AM54" t="s">
        <v>193</v>
      </c>
      <c r="AN54" t="s">
        <v>193</v>
      </c>
      <c r="AO54" t="s">
        <v>193</v>
      </c>
      <c r="AP54" t="s">
        <v>193</v>
      </c>
      <c r="AQ54">
        <v>7.0712049742029895E-2</v>
      </c>
      <c r="AR54" t="s">
        <v>193</v>
      </c>
      <c r="AS54" t="s">
        <v>193</v>
      </c>
      <c r="AT54">
        <v>48.621246604896697</v>
      </c>
      <c r="AU54" t="s">
        <v>193</v>
      </c>
      <c r="AV54" s="2">
        <v>12109527.0010392</v>
      </c>
      <c r="AW54">
        <v>30.741229880313401</v>
      </c>
      <c r="AX54">
        <v>3410.4845581792401</v>
      </c>
      <c r="AY54">
        <v>-4.43269273146886</v>
      </c>
      <c r="AZ54">
        <v>28.318609959009802</v>
      </c>
      <c r="BA54">
        <v>42</v>
      </c>
      <c r="BB54">
        <v>-644</v>
      </c>
      <c r="BC54">
        <v>-4</v>
      </c>
      <c r="BD54">
        <v>27</v>
      </c>
      <c r="BE54">
        <v>42</v>
      </c>
      <c r="BF54">
        <v>56</v>
      </c>
      <c r="BG54">
        <v>69</v>
      </c>
      <c r="BH54">
        <v>58.399354090428403</v>
      </c>
      <c r="BI54">
        <v>144</v>
      </c>
      <c r="BJ54">
        <v>29</v>
      </c>
      <c r="BK54">
        <v>788</v>
      </c>
      <c r="BL54">
        <v>30.787532489890701</v>
      </c>
      <c r="BM54">
        <v>12.8168070492443</v>
      </c>
      <c r="BN54">
        <v>28.401568303755599</v>
      </c>
      <c r="BO54">
        <v>1.8997077969163201</v>
      </c>
      <c r="BP54">
        <v>0.34939759036144502</v>
      </c>
      <c r="BQ54" t="s">
        <v>194</v>
      </c>
      <c r="BR54" s="2">
        <v>63320372</v>
      </c>
      <c r="BS54">
        <v>65.996270900207094</v>
      </c>
      <c r="BT54">
        <v>553.76572146605997</v>
      </c>
      <c r="BU54">
        <v>1531.5057678222599</v>
      </c>
      <c r="BV54">
        <v>0.48200302124023398</v>
      </c>
      <c r="BW54">
        <v>59.719795227050703</v>
      </c>
      <c r="BX54">
        <v>1.0346337890624999</v>
      </c>
      <c r="BY54">
        <v>54.538921356201101</v>
      </c>
      <c r="BZ54">
        <v>26.607774734496999</v>
      </c>
      <c r="CA54" t="s">
        <v>1129</v>
      </c>
      <c r="CB54" t="s">
        <v>1130</v>
      </c>
      <c r="CC54" t="s">
        <v>1131</v>
      </c>
      <c r="CD54" t="s">
        <v>1132</v>
      </c>
      <c r="CE54" t="s">
        <v>1133</v>
      </c>
      <c r="CF54" t="s">
        <v>1134</v>
      </c>
      <c r="CG54" t="s">
        <v>1135</v>
      </c>
      <c r="CH54">
        <v>103.621337185307</v>
      </c>
      <c r="CI54">
        <v>34.224684358585698</v>
      </c>
      <c r="CJ54">
        <v>-4.4203357448253904</v>
      </c>
      <c r="CK54">
        <v>28.239240050891802</v>
      </c>
      <c r="CL54">
        <v>105</v>
      </c>
      <c r="CM54">
        <v>36</v>
      </c>
      <c r="CN54">
        <v>100</v>
      </c>
      <c r="CO54">
        <v>103</v>
      </c>
      <c r="CP54">
        <v>105</v>
      </c>
      <c r="CQ54">
        <v>106</v>
      </c>
      <c r="CR54">
        <v>107</v>
      </c>
      <c r="CS54">
        <v>5.8501866943359797</v>
      </c>
      <c r="CT54">
        <v>115</v>
      </c>
      <c r="CU54">
        <v>105</v>
      </c>
      <c r="CV54">
        <v>3</v>
      </c>
      <c r="CW54">
        <v>79</v>
      </c>
      <c r="CX54">
        <v>3.1012753688552901</v>
      </c>
      <c r="CY54">
        <v>1.3488592079072901</v>
      </c>
      <c r="CZ54">
        <v>2.83622231393589</v>
      </c>
      <c r="DA54">
        <v>5.6457355726591399E-2</v>
      </c>
      <c r="DB54">
        <v>1.43540669856459E-2</v>
      </c>
      <c r="DC54">
        <v>1.1033939682393299</v>
      </c>
      <c r="DD54">
        <v>3.6653954228234999</v>
      </c>
      <c r="DE54">
        <v>1036.2133718530599</v>
      </c>
      <c r="DF54">
        <v>0.118324601325162</v>
      </c>
      <c r="DG54">
        <v>2.8528910901462101E-3</v>
      </c>
      <c r="DH54">
        <v>817</v>
      </c>
      <c r="DI54">
        <v>103</v>
      </c>
      <c r="DJ54">
        <v>-781.5</v>
      </c>
      <c r="DK54">
        <v>107</v>
      </c>
      <c r="DL54">
        <v>0.48200302124023398</v>
      </c>
      <c r="DM54">
        <v>59.719795227050703</v>
      </c>
      <c r="DN54">
        <v>1.0346337890624999</v>
      </c>
      <c r="DO54">
        <v>54.538921356201101</v>
      </c>
      <c r="DP54">
        <v>26.607774734496999</v>
      </c>
      <c r="DQ54" t="s">
        <v>1136</v>
      </c>
      <c r="DR54" t="s">
        <v>1137</v>
      </c>
      <c r="DS54" t="s">
        <v>1138</v>
      </c>
      <c r="DT54" t="s">
        <v>1139</v>
      </c>
      <c r="DU54" t="s">
        <v>1133</v>
      </c>
      <c r="DV54" t="s">
        <v>1134</v>
      </c>
      <c r="DW54" t="s">
        <v>1140</v>
      </c>
      <c r="DX54">
        <v>5.1695891159046901E-2</v>
      </c>
      <c r="DY54">
        <v>104.262916552894</v>
      </c>
      <c r="DZ54">
        <v>20.148773453283599</v>
      </c>
      <c r="EA54">
        <v>6.6387798445331097</v>
      </c>
      <c r="EB54">
        <v>1.9984718678139199</v>
      </c>
      <c r="EC54">
        <v>2.58128643168354</v>
      </c>
      <c r="ED54">
        <v>18.871044386431301</v>
      </c>
      <c r="EE54">
        <v>6.63877984453329</v>
      </c>
      <c r="EF54">
        <v>208.52583310578899</v>
      </c>
      <c r="EG54">
        <v>16.517456805839199</v>
      </c>
      <c r="EH54">
        <v>6.7628220610134807E-2</v>
      </c>
      <c r="EI54">
        <v>2.1339546015188001E-2</v>
      </c>
      <c r="EJ54">
        <v>25.534084028824701</v>
      </c>
      <c r="EK54">
        <v>2.58128643168354</v>
      </c>
      <c r="EL54">
        <v>0.47040880181743999</v>
      </c>
      <c r="EM54">
        <v>0.97090513685754398</v>
      </c>
      <c r="EN54">
        <v>0.40789682221873003</v>
      </c>
      <c r="EO54">
        <v>0.99637912320315303</v>
      </c>
      <c r="EP54" s="2">
        <v>2.8464485329262798E-7</v>
      </c>
      <c r="EQ54">
        <v>0.366361329933377</v>
      </c>
      <c r="ER54">
        <v>10878.137499554799</v>
      </c>
      <c r="ES54">
        <v>16.517456805839199</v>
      </c>
      <c r="ET54">
        <v>-1829.68533382431</v>
      </c>
      <c r="EU54">
        <v>113053.249520458</v>
      </c>
      <c r="EV54">
        <v>0.87561075538934197</v>
      </c>
      <c r="EW54">
        <v>1.7129173157733699</v>
      </c>
      <c r="EX54" s="2">
        <v>9.5453993241785106E-5</v>
      </c>
      <c r="EY54">
        <v>10719.9331641716</v>
      </c>
      <c r="EZ54" s="2">
        <v>8.4158060895826796E-5</v>
      </c>
      <c r="FA54">
        <v>9348.0804992379908</v>
      </c>
      <c r="FB54" s="2">
        <v>1.6018714039517899E-4</v>
      </c>
      <c r="FC54">
        <v>18581.424529661501</v>
      </c>
      <c r="FD54">
        <v>1305.66513977153</v>
      </c>
      <c r="FE54">
        <v>8784.3320098432996</v>
      </c>
      <c r="FF54">
        <v>0.83298411589785903</v>
      </c>
      <c r="FG54" s="2">
        <v>5.0709596766345202E-4</v>
      </c>
      <c r="FH54">
        <v>2.9272173275639499E-2</v>
      </c>
      <c r="FI54">
        <v>0.15439117209012099</v>
      </c>
      <c r="FJ54">
        <v>6459.2586903920901</v>
      </c>
      <c r="FK54">
        <v>5.1952959946462602</v>
      </c>
      <c r="FL54">
        <v>0.77186641777429099</v>
      </c>
      <c r="FM54">
        <v>7013.7589320769503</v>
      </c>
      <c r="FN54" s="2">
        <v>1.11960423540059E-4</v>
      </c>
      <c r="FO54">
        <v>9625.0337652139697</v>
      </c>
      <c r="FP54" s="2">
        <v>9.0072143725218604E-5</v>
      </c>
      <c r="FQ54">
        <v>7208.3287964599904</v>
      </c>
      <c r="FR54">
        <v>0.63704805290805899</v>
      </c>
      <c r="FS54" s="2">
        <v>77247219.367491096</v>
      </c>
      <c r="FT54">
        <v>102.340400471142</v>
      </c>
      <c r="FU54">
        <v>4.0180761865387701E-2</v>
      </c>
      <c r="FV54">
        <v>1413.27247742442</v>
      </c>
      <c r="FW54">
        <v>0.55487729777166095</v>
      </c>
      <c r="FX54">
        <v>0.17519603796945901</v>
      </c>
      <c r="FY54">
        <v>122.113862217172</v>
      </c>
      <c r="FZ54">
        <v>6981.1789051346996</v>
      </c>
      <c r="GA54">
        <v>6.4391507687805403</v>
      </c>
    </row>
    <row r="55" spans="1:183" x14ac:dyDescent="0.2">
      <c r="A55" t="s">
        <v>2493</v>
      </c>
      <c r="B55" t="s">
        <v>182</v>
      </c>
      <c r="C55" t="s">
        <v>1141</v>
      </c>
      <c r="D55" s="1">
        <v>42374</v>
      </c>
      <c r="E55" t="s">
        <v>381</v>
      </c>
      <c r="F55" t="s">
        <v>185</v>
      </c>
      <c r="G55" t="s">
        <v>186</v>
      </c>
      <c r="H55">
        <v>1</v>
      </c>
      <c r="I55">
        <v>400</v>
      </c>
      <c r="J55">
        <v>10</v>
      </c>
      <c r="K55" t="s">
        <v>187</v>
      </c>
      <c r="L55" t="s">
        <v>1142</v>
      </c>
      <c r="M55">
        <v>5</v>
      </c>
      <c r="N55">
        <v>0.591796875</v>
      </c>
      <c r="O55">
        <v>0.591796875</v>
      </c>
      <c r="P55" t="s">
        <v>1143</v>
      </c>
      <c r="Q55">
        <v>0</v>
      </c>
      <c r="R55" t="s">
        <v>194</v>
      </c>
      <c r="T55">
        <v>144217.67649650501</v>
      </c>
      <c r="U55">
        <v>144612.55353927601</v>
      </c>
      <c r="V55">
        <v>82583</v>
      </c>
      <c r="W55">
        <v>25348.167557295899</v>
      </c>
      <c r="X55">
        <v>0.17576325019984701</v>
      </c>
      <c r="Y55">
        <v>27.983456647152099</v>
      </c>
      <c r="Z55">
        <v>2.0161540107847001E-2</v>
      </c>
      <c r="AA55">
        <v>0.144427420374281</v>
      </c>
      <c r="AB55">
        <v>1.90597316565676</v>
      </c>
      <c r="AC55">
        <v>0.52466635838255204</v>
      </c>
      <c r="AD55">
        <v>0.905973165656762</v>
      </c>
      <c r="AE55" t="s">
        <v>1144</v>
      </c>
      <c r="AF55" t="s">
        <v>1145</v>
      </c>
      <c r="AG55" t="s">
        <v>1146</v>
      </c>
      <c r="AH55" t="s">
        <v>193</v>
      </c>
      <c r="AI55" t="s">
        <v>193</v>
      </c>
      <c r="AJ55" t="s">
        <v>193</v>
      </c>
      <c r="AK55" t="s">
        <v>193</v>
      </c>
      <c r="AL55" t="s">
        <v>193</v>
      </c>
      <c r="AM55" t="s">
        <v>193</v>
      </c>
      <c r="AN55" t="s">
        <v>193</v>
      </c>
      <c r="AO55" t="s">
        <v>193</v>
      </c>
      <c r="AP55" t="s">
        <v>193</v>
      </c>
      <c r="AQ55">
        <v>0.178622379217276</v>
      </c>
      <c r="AR55" t="s">
        <v>193</v>
      </c>
      <c r="AS55" t="s">
        <v>193</v>
      </c>
      <c r="AT55">
        <v>108.50364939972999</v>
      </c>
      <c r="AU55" t="s">
        <v>193</v>
      </c>
      <c r="AV55" s="2">
        <v>125105917.106216</v>
      </c>
      <c r="AW55">
        <v>60.479771865880203</v>
      </c>
      <c r="AX55">
        <v>2927.95337973797</v>
      </c>
      <c r="AY55">
        <v>-4.5936546092013204</v>
      </c>
      <c r="AZ55">
        <v>41.313521305295701</v>
      </c>
      <c r="BA55">
        <v>69</v>
      </c>
      <c r="BB55">
        <v>-807</v>
      </c>
      <c r="BC55">
        <v>29</v>
      </c>
      <c r="BD55">
        <v>52</v>
      </c>
      <c r="BE55">
        <v>69</v>
      </c>
      <c r="BF55">
        <v>84</v>
      </c>
      <c r="BG55">
        <v>98</v>
      </c>
      <c r="BH55">
        <v>54.110566248543101</v>
      </c>
      <c r="BI55">
        <v>790</v>
      </c>
      <c r="BJ55">
        <v>32</v>
      </c>
      <c r="BK55">
        <v>1597</v>
      </c>
      <c r="BL55">
        <v>28.065118590179999</v>
      </c>
      <c r="BM55">
        <v>13.7671693607734</v>
      </c>
      <c r="BN55">
        <v>26.909945146095399</v>
      </c>
      <c r="BO55">
        <v>0.89468866331934105</v>
      </c>
      <c r="BP55">
        <v>0.23529411764705799</v>
      </c>
      <c r="BQ55" t="s">
        <v>194</v>
      </c>
      <c r="BR55" s="2">
        <v>543871503</v>
      </c>
      <c r="BS55">
        <v>81.152672073610205</v>
      </c>
      <c r="BT55">
        <v>8746.1342469978099</v>
      </c>
      <c r="BU55">
        <v>78832.4006080627</v>
      </c>
      <c r="BV55">
        <v>0.52358416748046799</v>
      </c>
      <c r="BW55">
        <v>106.86621856689401</v>
      </c>
      <c r="BX55">
        <v>1.0349105224609301</v>
      </c>
      <c r="BY55">
        <v>101.971237182617</v>
      </c>
      <c r="BZ55">
        <v>125.41000366210901</v>
      </c>
      <c r="CA55" t="s">
        <v>1147</v>
      </c>
      <c r="CB55" t="s">
        <v>1148</v>
      </c>
      <c r="CC55" t="s">
        <v>1149</v>
      </c>
      <c r="CD55" t="s">
        <v>1150</v>
      </c>
      <c r="CE55" t="s">
        <v>1151</v>
      </c>
      <c r="CF55" t="s">
        <v>1152</v>
      </c>
      <c r="CG55" t="s">
        <v>1153</v>
      </c>
      <c r="CH55">
        <v>106.600171948221</v>
      </c>
      <c r="CI55">
        <v>29.372934835962901</v>
      </c>
      <c r="CJ55">
        <v>-4.5692323523083802</v>
      </c>
      <c r="CK55">
        <v>41.061258139082</v>
      </c>
      <c r="CL55">
        <v>107</v>
      </c>
      <c r="CM55">
        <v>20</v>
      </c>
      <c r="CN55">
        <v>103</v>
      </c>
      <c r="CO55">
        <v>106</v>
      </c>
      <c r="CP55">
        <v>107</v>
      </c>
      <c r="CQ55">
        <v>109</v>
      </c>
      <c r="CR55">
        <v>110</v>
      </c>
      <c r="CS55">
        <v>5.4196803259936797</v>
      </c>
      <c r="CT55">
        <v>180</v>
      </c>
      <c r="CU55">
        <v>108</v>
      </c>
      <c r="CV55">
        <v>3</v>
      </c>
      <c r="CW55">
        <v>160</v>
      </c>
      <c r="CX55">
        <v>2.82973418993125</v>
      </c>
      <c r="CY55">
        <v>1.47656369560794</v>
      </c>
      <c r="CZ55">
        <v>2.7097465580083</v>
      </c>
      <c r="DA55">
        <v>5.0841196847470203E-2</v>
      </c>
      <c r="DB55">
        <v>1.3953488372093001E-2</v>
      </c>
      <c r="DC55">
        <v>1.10270257841555</v>
      </c>
      <c r="DD55">
        <v>3.6630986755433601</v>
      </c>
      <c r="DE55">
        <v>1066.0017194821901</v>
      </c>
      <c r="DF55">
        <v>0.11158026264487</v>
      </c>
      <c r="DG55">
        <v>1.16238062384292E-3</v>
      </c>
      <c r="DH55">
        <v>3415.5</v>
      </c>
      <c r="DI55">
        <v>105</v>
      </c>
      <c r="DJ55">
        <v>-3767.5</v>
      </c>
      <c r="DK55">
        <v>110</v>
      </c>
      <c r="DL55">
        <v>0.52358416748046799</v>
      </c>
      <c r="DM55">
        <v>106.86621856689401</v>
      </c>
      <c r="DN55">
        <v>1.0349105224609301</v>
      </c>
      <c r="DO55">
        <v>101.971237182617</v>
      </c>
      <c r="DP55">
        <v>125.41000366210901</v>
      </c>
      <c r="DQ55" t="s">
        <v>1154</v>
      </c>
      <c r="DR55" t="s">
        <v>1155</v>
      </c>
      <c r="DS55" t="s">
        <v>1156</v>
      </c>
      <c r="DT55" t="s">
        <v>1157</v>
      </c>
      <c r="DU55" t="s">
        <v>1151</v>
      </c>
      <c r="DV55" t="s">
        <v>1152</v>
      </c>
      <c r="DW55" t="s">
        <v>1158</v>
      </c>
      <c r="DX55">
        <v>4.9537975235860399E-2</v>
      </c>
      <c r="DY55">
        <v>107.00241597419399</v>
      </c>
      <c r="DZ55">
        <v>19.1799974382354</v>
      </c>
      <c r="EA55">
        <v>6.5484641246623703</v>
      </c>
      <c r="EB55">
        <v>1.9712841270528301</v>
      </c>
      <c r="EC55">
        <v>2.0753859363906502</v>
      </c>
      <c r="ED55">
        <v>14.0526698749003</v>
      </c>
      <c r="EE55">
        <v>6.5484641246626101</v>
      </c>
      <c r="EF55">
        <v>214.00483194838901</v>
      </c>
      <c r="EG55">
        <v>57.989649207809499</v>
      </c>
      <c r="EH55">
        <v>6.5479524297908096</v>
      </c>
      <c r="EI55">
        <v>2.1272507343413401E-2</v>
      </c>
      <c r="EJ55">
        <v>18.3598966598686</v>
      </c>
      <c r="EK55">
        <v>2.0753859363906502</v>
      </c>
      <c r="EL55">
        <v>0.52258842004767403</v>
      </c>
      <c r="EM55">
        <v>0.98773374580718298</v>
      </c>
      <c r="EN55">
        <v>0.47130327919042903</v>
      </c>
      <c r="EO55">
        <v>0.999311892411195</v>
      </c>
      <c r="EP55" s="2">
        <v>4.3907002352045003E-6</v>
      </c>
      <c r="EQ55">
        <v>0.52137906381395205</v>
      </c>
      <c r="ER55">
        <v>11459.5170734229</v>
      </c>
      <c r="ES55">
        <v>57.989649207809499</v>
      </c>
      <c r="ET55">
        <v>-2014.0685136422701</v>
      </c>
      <c r="EU55">
        <v>174277.42630680799</v>
      </c>
      <c r="EV55">
        <v>0.842861355831381</v>
      </c>
      <c r="EW55">
        <v>2.0844098055347202</v>
      </c>
      <c r="EX55" s="2">
        <v>9.0008762686957802E-5</v>
      </c>
      <c r="EY55">
        <v>11341.5340920701</v>
      </c>
      <c r="EZ55" s="2">
        <v>7.64042894078923E-5</v>
      </c>
      <c r="FA55">
        <v>9522.8793211048196</v>
      </c>
      <c r="FB55" s="2">
        <v>1.8378940285681601E-4</v>
      </c>
      <c r="FC55">
        <v>23902.203930267598</v>
      </c>
      <c r="FD55">
        <v>6772.5726823558798</v>
      </c>
      <c r="FE55">
        <v>44668.157981779899</v>
      </c>
      <c r="FF55">
        <v>0.79210752073205604</v>
      </c>
      <c r="FG55" s="2">
        <v>1.02882104338201E-4</v>
      </c>
      <c r="FH55">
        <v>6.3108591968114502E-3</v>
      </c>
      <c r="FI55">
        <v>0.39807149633231298</v>
      </c>
      <c r="FJ55">
        <v>13807.6735902744</v>
      </c>
      <c r="FK55">
        <v>3.5249797046834899</v>
      </c>
      <c r="FL55">
        <v>0.69287546347319495</v>
      </c>
      <c r="FM55">
        <v>51264.478524557497</v>
      </c>
      <c r="FN55" s="2">
        <v>1.0676866920778E-4</v>
      </c>
      <c r="FO55">
        <v>10247.0259494929</v>
      </c>
      <c r="FP55" s="2">
        <v>7.8418880724505201E-5</v>
      </c>
      <c r="FQ55">
        <v>6848.37439843839</v>
      </c>
      <c r="FR55">
        <v>4.4216062661247202</v>
      </c>
      <c r="FS55" s="2">
        <v>594657505.42831504</v>
      </c>
      <c r="FT55">
        <v>374.54841916881998</v>
      </c>
      <c r="FU55">
        <v>3.72388565488984E-2</v>
      </c>
      <c r="FV55">
        <v>4462.3704513819803</v>
      </c>
      <c r="FW55">
        <v>0.44366379512646498</v>
      </c>
      <c r="FX55">
        <v>0.12179262075729801</v>
      </c>
      <c r="FY55">
        <v>145.257101385043</v>
      </c>
      <c r="FZ55">
        <v>51197.063290234197</v>
      </c>
      <c r="GA55">
        <v>7.0405478511915396</v>
      </c>
    </row>
    <row r="56" spans="1:183" x14ac:dyDescent="0.2">
      <c r="A56" t="s">
        <v>2494</v>
      </c>
      <c r="B56" t="s">
        <v>182</v>
      </c>
      <c r="C56" t="s">
        <v>1159</v>
      </c>
      <c r="D56" s="1">
        <v>42965</v>
      </c>
      <c r="E56" t="s">
        <v>1160</v>
      </c>
      <c r="F56" t="s">
        <v>185</v>
      </c>
      <c r="G56" t="s">
        <v>186</v>
      </c>
      <c r="H56">
        <v>1</v>
      </c>
      <c r="I56">
        <v>400</v>
      </c>
      <c r="J56">
        <v>10</v>
      </c>
      <c r="K56" t="s">
        <v>187</v>
      </c>
      <c r="L56" t="s">
        <v>1161</v>
      </c>
      <c r="M56">
        <v>1.5</v>
      </c>
      <c r="N56">
        <v>0.72265625</v>
      </c>
      <c r="O56">
        <v>0.72265625</v>
      </c>
      <c r="P56" t="s">
        <v>1162</v>
      </c>
      <c r="Q56">
        <v>0</v>
      </c>
      <c r="R56" t="s">
        <v>194</v>
      </c>
      <c r="T56">
        <v>19120.12321949</v>
      </c>
      <c r="U56">
        <v>19189.678001403801</v>
      </c>
      <c r="V56">
        <v>24497</v>
      </c>
      <c r="W56">
        <v>6167.8433296323701</v>
      </c>
      <c r="X56">
        <v>0.32258386929981703</v>
      </c>
      <c r="Y56">
        <v>25.334323604153699</v>
      </c>
      <c r="Z56">
        <v>2.2269770938555901E-2</v>
      </c>
      <c r="AA56">
        <v>0.176211296332968</v>
      </c>
      <c r="AB56">
        <v>1.78370111833976</v>
      </c>
      <c r="AC56">
        <v>0.56063204183601101</v>
      </c>
      <c r="AD56">
        <v>0.78370111833976497</v>
      </c>
      <c r="AE56" t="s">
        <v>1163</v>
      </c>
      <c r="AF56" t="s">
        <v>1164</v>
      </c>
      <c r="AG56" t="s">
        <v>1165</v>
      </c>
      <c r="AH56" t="s">
        <v>193</v>
      </c>
      <c r="AI56" t="s">
        <v>193</v>
      </c>
      <c r="AJ56" t="s">
        <v>193</v>
      </c>
      <c r="AK56" t="s">
        <v>193</v>
      </c>
      <c r="AL56" t="s">
        <v>193</v>
      </c>
      <c r="AM56" t="s">
        <v>193</v>
      </c>
      <c r="AN56" t="s">
        <v>193</v>
      </c>
      <c r="AO56" t="s">
        <v>193</v>
      </c>
      <c r="AP56" t="s">
        <v>193</v>
      </c>
      <c r="AQ56">
        <v>0.126210027951388</v>
      </c>
      <c r="AR56" t="s">
        <v>193</v>
      </c>
      <c r="AS56" t="s">
        <v>193</v>
      </c>
      <c r="AT56">
        <v>55.061253822591702</v>
      </c>
      <c r="AU56" t="s">
        <v>193</v>
      </c>
      <c r="AV56" s="2">
        <v>15140275.4641943</v>
      </c>
      <c r="AW56">
        <v>7.8503082010042204</v>
      </c>
      <c r="AX56">
        <v>4020.8079389383502</v>
      </c>
      <c r="AY56">
        <v>-4.6358793241013503</v>
      </c>
      <c r="AZ56">
        <v>35.718839244139602</v>
      </c>
      <c r="BA56">
        <v>17</v>
      </c>
      <c r="BB56">
        <v>-784</v>
      </c>
      <c r="BC56">
        <v>-18</v>
      </c>
      <c r="BD56">
        <v>1</v>
      </c>
      <c r="BE56">
        <v>17</v>
      </c>
      <c r="BF56">
        <v>32</v>
      </c>
      <c r="BG56">
        <v>46</v>
      </c>
      <c r="BH56">
        <v>63.4098410259665</v>
      </c>
      <c r="BI56">
        <v>530</v>
      </c>
      <c r="BJ56">
        <v>31</v>
      </c>
      <c r="BK56">
        <v>1314</v>
      </c>
      <c r="BL56">
        <v>29.825070745478602</v>
      </c>
      <c r="BM56">
        <v>12.9861922510007</v>
      </c>
      <c r="BN56">
        <v>28.397354778135998</v>
      </c>
      <c r="BO56">
        <v>8.0773696270746491</v>
      </c>
      <c r="BP56">
        <v>0.939393939393939</v>
      </c>
      <c r="BQ56" t="s">
        <v>194</v>
      </c>
      <c r="BR56" s="2">
        <v>100007417</v>
      </c>
      <c r="BS56">
        <v>63.893937723301399</v>
      </c>
      <c r="BT56">
        <v>150.64488658905</v>
      </c>
      <c r="BU56">
        <v>10518.275833129799</v>
      </c>
      <c r="BV56">
        <v>0.50055941772460899</v>
      </c>
      <c r="BW56">
        <v>30.097637176513601</v>
      </c>
      <c r="BX56">
        <v>0.95646801757812505</v>
      </c>
      <c r="BY56">
        <v>23.9867553710937</v>
      </c>
      <c r="BZ56" t="s">
        <v>194</v>
      </c>
      <c r="CA56" t="s">
        <v>1166</v>
      </c>
      <c r="CB56" t="s">
        <v>1167</v>
      </c>
      <c r="CC56" t="s">
        <v>1168</v>
      </c>
      <c r="CD56" t="s">
        <v>1169</v>
      </c>
      <c r="CE56" t="s">
        <v>1170</v>
      </c>
      <c r="CF56" t="s">
        <v>1171</v>
      </c>
      <c r="CG56" t="s">
        <v>1172</v>
      </c>
      <c r="CH56">
        <v>101.333714332366</v>
      </c>
      <c r="CI56">
        <v>40.285540487932899</v>
      </c>
      <c r="CJ56">
        <v>-4.6189679507329098</v>
      </c>
      <c r="CK56">
        <v>35.588769988183003</v>
      </c>
      <c r="CL56">
        <v>102</v>
      </c>
      <c r="CM56">
        <v>22</v>
      </c>
      <c r="CN56">
        <v>99</v>
      </c>
      <c r="CO56">
        <v>101</v>
      </c>
      <c r="CP56">
        <v>102</v>
      </c>
      <c r="CQ56">
        <v>104</v>
      </c>
      <c r="CR56">
        <v>105</v>
      </c>
      <c r="CS56">
        <v>6.3470891350234604</v>
      </c>
      <c r="CT56">
        <v>154</v>
      </c>
      <c r="CU56">
        <v>102</v>
      </c>
      <c r="CV56">
        <v>3</v>
      </c>
      <c r="CW56">
        <v>132</v>
      </c>
      <c r="CX56">
        <v>3.00451589970287</v>
      </c>
      <c r="CY56">
        <v>1.3702190048671601</v>
      </c>
      <c r="CZ56">
        <v>2.8350410254316798</v>
      </c>
      <c r="DA56">
        <v>6.2635512542306399E-2</v>
      </c>
      <c r="DB56">
        <v>1.46341463414634E-2</v>
      </c>
      <c r="DC56">
        <v>1.0995723326554501</v>
      </c>
      <c r="DD56">
        <v>3.6527002242089699</v>
      </c>
      <c r="DE56">
        <v>1013.33714332365</v>
      </c>
      <c r="DF56">
        <v>0.115775765090356</v>
      </c>
      <c r="DG56">
        <v>2.17396415353338E-3</v>
      </c>
      <c r="DH56">
        <v>1156</v>
      </c>
      <c r="DI56">
        <v>100</v>
      </c>
      <c r="DJ56">
        <v>-1134.5</v>
      </c>
      <c r="DK56">
        <v>104</v>
      </c>
      <c r="DL56">
        <v>0.50055941772460899</v>
      </c>
      <c r="DM56">
        <v>30.097637176513601</v>
      </c>
      <c r="DN56">
        <v>0.95646801757812505</v>
      </c>
      <c r="DO56">
        <v>23.9867553710937</v>
      </c>
      <c r="DP56" t="s">
        <v>194</v>
      </c>
      <c r="DQ56" t="s">
        <v>1173</v>
      </c>
      <c r="DR56" t="s">
        <v>1174</v>
      </c>
      <c r="DS56" t="s">
        <v>1175</v>
      </c>
      <c r="DT56" t="s">
        <v>1176</v>
      </c>
      <c r="DU56" t="s">
        <v>1170</v>
      </c>
      <c r="DV56" t="s">
        <v>1171</v>
      </c>
      <c r="DW56" t="s">
        <v>1177</v>
      </c>
      <c r="DX56">
        <v>4.4561778507576699E-2</v>
      </c>
      <c r="DY56">
        <v>101.78941976261</v>
      </c>
      <c r="DZ56">
        <v>22.182132921869201</v>
      </c>
      <c r="EA56">
        <v>6.6472297400335201</v>
      </c>
      <c r="EB56">
        <v>2.00101553981973</v>
      </c>
      <c r="EC56">
        <v>2.4444605660818</v>
      </c>
      <c r="ED56">
        <v>18.236645495070601</v>
      </c>
      <c r="EE56">
        <v>6.64722974003387</v>
      </c>
      <c r="EF56">
        <v>203.57883952521999</v>
      </c>
      <c r="EG56">
        <v>63.624512964775001</v>
      </c>
      <c r="EH56">
        <v>6.6443190009620396</v>
      </c>
      <c r="EI56">
        <v>1.93523221168641E-2</v>
      </c>
      <c r="EJ56">
        <v>24.212032954199401</v>
      </c>
      <c r="EK56">
        <v>2.4444605660818</v>
      </c>
      <c r="EL56">
        <v>0.47475195389121699</v>
      </c>
      <c r="EM56">
        <v>0.98278603203991999</v>
      </c>
      <c r="EN56">
        <v>0.41165668251908999</v>
      </c>
      <c r="EO56">
        <v>0.99869212067908297</v>
      </c>
      <c r="EP56" s="2">
        <v>3.3179976808808701E-6</v>
      </c>
      <c r="EQ56">
        <v>0.45424470587476301</v>
      </c>
      <c r="ER56">
        <v>10371.162092053701</v>
      </c>
      <c r="ES56">
        <v>63.624512964775001</v>
      </c>
      <c r="ET56">
        <v>-2531.5915252251898</v>
      </c>
      <c r="EU56">
        <v>207707.88404217799</v>
      </c>
      <c r="EV56">
        <v>0.87372701775746597</v>
      </c>
      <c r="EW56">
        <v>1.72228598843384</v>
      </c>
      <c r="EX56" s="2">
        <v>1.0066038524224499E-4</v>
      </c>
      <c r="EY56">
        <v>10274.8422078847</v>
      </c>
      <c r="EZ56" s="2">
        <v>8.8582048990264197E-5</v>
      </c>
      <c r="FA56">
        <v>8951.9933881582001</v>
      </c>
      <c r="FB56" s="2">
        <v>1.6973260471346899E-4</v>
      </c>
      <c r="FC56">
        <v>17840.7672806339</v>
      </c>
      <c r="FD56">
        <v>2203.11566838512</v>
      </c>
      <c r="FE56">
        <v>14766.2170384933</v>
      </c>
      <c r="FF56">
        <v>0.83252894388951804</v>
      </c>
      <c r="FG56" s="2">
        <v>3.1498857264698402E-4</v>
      </c>
      <c r="FH56">
        <v>1.28663260669194E-2</v>
      </c>
      <c r="FI56">
        <v>0.15471952051225801</v>
      </c>
      <c r="FJ56">
        <v>11921.580186602199</v>
      </c>
      <c r="FK56">
        <v>6.51711700414715</v>
      </c>
      <c r="FL56">
        <v>0.74836382268245405</v>
      </c>
      <c r="FM56">
        <v>13047.705659355501</v>
      </c>
      <c r="FN56" s="2">
        <v>1.2264307050869101E-4</v>
      </c>
      <c r="FO56">
        <v>9366.3409152450495</v>
      </c>
      <c r="FP56" s="2">
        <v>9.74339443596169E-5</v>
      </c>
      <c r="FQ56">
        <v>6778.1987734474596</v>
      </c>
      <c r="FR56">
        <v>1.2473857460825299</v>
      </c>
      <c r="FS56" s="2">
        <v>136540073.75467101</v>
      </c>
      <c r="FT56">
        <v>138.083130246412</v>
      </c>
      <c r="FU56">
        <v>3.7390503722288602E-2</v>
      </c>
      <c r="FV56">
        <v>1920.26292986731</v>
      </c>
      <c r="FW56">
        <v>0.51997371510081603</v>
      </c>
      <c r="FX56">
        <v>0.15075315344736001</v>
      </c>
      <c r="FY56">
        <v>195.05016604404199</v>
      </c>
      <c r="FZ56">
        <v>13003.704189005401</v>
      </c>
      <c r="GA56">
        <v>6.8308996216710502</v>
      </c>
    </row>
    <row r="57" spans="1:183" x14ac:dyDescent="0.2">
      <c r="A57" t="s">
        <v>2495</v>
      </c>
      <c r="B57" t="s">
        <v>182</v>
      </c>
      <c r="C57" t="s">
        <v>1178</v>
      </c>
      <c r="D57" s="1">
        <v>42159</v>
      </c>
      <c r="E57" t="s">
        <v>1179</v>
      </c>
      <c r="F57" t="s">
        <v>185</v>
      </c>
      <c r="G57" t="s">
        <v>186</v>
      </c>
      <c r="H57">
        <v>1</v>
      </c>
      <c r="I57">
        <v>400</v>
      </c>
      <c r="J57">
        <v>10</v>
      </c>
      <c r="K57" t="s">
        <v>187</v>
      </c>
      <c r="L57" t="s">
        <v>1180</v>
      </c>
      <c r="M57">
        <v>1.5</v>
      </c>
      <c r="N57">
        <v>0.6640625</v>
      </c>
      <c r="O57">
        <v>0.6640625</v>
      </c>
      <c r="P57" t="s">
        <v>1181</v>
      </c>
      <c r="Q57">
        <v>0</v>
      </c>
      <c r="R57" t="s">
        <v>194</v>
      </c>
      <c r="T57">
        <v>16112.8491401672</v>
      </c>
      <c r="U57">
        <v>16180.181121826099</v>
      </c>
      <c r="V57">
        <v>24461</v>
      </c>
      <c r="W57">
        <v>5972.0150444164901</v>
      </c>
      <c r="X57">
        <v>0.37063681242624102</v>
      </c>
      <c r="Y57">
        <v>28.642373171943401</v>
      </c>
      <c r="Z57">
        <v>1.9697724771647301E-2</v>
      </c>
      <c r="AA57">
        <v>0.137858762603596</v>
      </c>
      <c r="AB57">
        <v>1.9357764763741101</v>
      </c>
      <c r="AC57">
        <v>0.516588569085771</v>
      </c>
      <c r="AD57">
        <v>0.93577647637411099</v>
      </c>
      <c r="AE57" t="s">
        <v>1182</v>
      </c>
      <c r="AF57" t="s">
        <v>1183</v>
      </c>
      <c r="AG57" t="s">
        <v>1184</v>
      </c>
      <c r="AH57" t="s">
        <v>193</v>
      </c>
      <c r="AI57" t="s">
        <v>193</v>
      </c>
      <c r="AJ57" t="s">
        <v>193</v>
      </c>
      <c r="AK57" t="s">
        <v>193</v>
      </c>
      <c r="AL57" t="s">
        <v>193</v>
      </c>
      <c r="AM57" t="s">
        <v>193</v>
      </c>
      <c r="AN57" t="s">
        <v>193</v>
      </c>
      <c r="AO57" t="s">
        <v>193</v>
      </c>
      <c r="AP57" t="s">
        <v>193</v>
      </c>
      <c r="AQ57">
        <v>0.26648205493125898</v>
      </c>
      <c r="AR57" t="s">
        <v>193</v>
      </c>
      <c r="AS57" t="s">
        <v>193</v>
      </c>
      <c r="AT57">
        <v>55.435879482594899</v>
      </c>
      <c r="AU57" t="s">
        <v>193</v>
      </c>
      <c r="AV57">
        <v>9906055.2858166695</v>
      </c>
      <c r="AW57">
        <v>5.7922815911042003</v>
      </c>
      <c r="AX57">
        <v>3947.6289433287502</v>
      </c>
      <c r="AY57">
        <v>-2.4354967471683402</v>
      </c>
      <c r="AZ57">
        <v>10.626162632232599</v>
      </c>
      <c r="BA57">
        <v>14</v>
      </c>
      <c r="BB57">
        <v>-609</v>
      </c>
      <c r="BC57">
        <v>-50</v>
      </c>
      <c r="BD57">
        <v>-11</v>
      </c>
      <c r="BE57">
        <v>14</v>
      </c>
      <c r="BF57">
        <v>39</v>
      </c>
      <c r="BG57">
        <v>64</v>
      </c>
      <c r="BH57">
        <v>62.830159504244101</v>
      </c>
      <c r="BI57">
        <v>175</v>
      </c>
      <c r="BJ57">
        <v>50</v>
      </c>
      <c r="BK57">
        <v>784</v>
      </c>
      <c r="BL57">
        <v>40.128134457402702</v>
      </c>
      <c r="BM57">
        <v>21.838360211620301</v>
      </c>
      <c r="BN57">
        <v>39.333919300110303</v>
      </c>
      <c r="BO57">
        <v>10.847221171142399</v>
      </c>
      <c r="BP57">
        <v>1.78571428571428</v>
      </c>
      <c r="BQ57" t="s">
        <v>194</v>
      </c>
      <c r="BR57" s="2">
        <v>97383631</v>
      </c>
      <c r="BS57">
        <v>63.096588412998898</v>
      </c>
      <c r="BT57">
        <v>93.720165252685405</v>
      </c>
      <c r="BU57">
        <v>3013.6505126953102</v>
      </c>
      <c r="BV57">
        <v>0.52851330566406196</v>
      </c>
      <c r="BW57">
        <v>66.934837341308594</v>
      </c>
      <c r="BX57">
        <v>1.0193229980468701</v>
      </c>
      <c r="BY57">
        <v>50.317024230957003</v>
      </c>
      <c r="BZ57">
        <v>56.050872802734297</v>
      </c>
      <c r="CA57" t="s">
        <v>1185</v>
      </c>
      <c r="CB57" t="s">
        <v>1186</v>
      </c>
      <c r="CC57" t="s">
        <v>1187</v>
      </c>
      <c r="CD57" t="s">
        <v>1188</v>
      </c>
      <c r="CE57" t="s">
        <v>1189</v>
      </c>
      <c r="CF57" t="s">
        <v>1190</v>
      </c>
      <c r="CG57" t="s">
        <v>1191</v>
      </c>
      <c r="CH57">
        <v>101.132619271493</v>
      </c>
      <c r="CI57">
        <v>39.554874415734098</v>
      </c>
      <c r="CJ57">
        <v>-2.4254184970060102</v>
      </c>
      <c r="CK57">
        <v>10.5719919305772</v>
      </c>
      <c r="CL57">
        <v>102</v>
      </c>
      <c r="CM57">
        <v>40</v>
      </c>
      <c r="CN57">
        <v>96</v>
      </c>
      <c r="CO57">
        <v>99</v>
      </c>
      <c r="CP57">
        <v>102</v>
      </c>
      <c r="CQ57">
        <v>104</v>
      </c>
      <c r="CR57">
        <v>107</v>
      </c>
      <c r="CS57">
        <v>6.2892666039637799</v>
      </c>
      <c r="CT57">
        <v>118</v>
      </c>
      <c r="CU57">
        <v>102</v>
      </c>
      <c r="CV57">
        <v>5</v>
      </c>
      <c r="CW57">
        <v>78</v>
      </c>
      <c r="CX57">
        <v>4.0144167738893897</v>
      </c>
      <c r="CY57">
        <v>2.23140512037009</v>
      </c>
      <c r="CZ57">
        <v>3.9226115040268099</v>
      </c>
      <c r="DA57">
        <v>6.21883092642945E-2</v>
      </c>
      <c r="DB57">
        <v>2.46305418719211E-2</v>
      </c>
      <c r="DC57">
        <v>1.29909798884473</v>
      </c>
      <c r="DD57">
        <v>4.3155101071550002</v>
      </c>
      <c r="DE57">
        <v>1011.32619271492</v>
      </c>
      <c r="DF57">
        <v>6.8986357352187402E-2</v>
      </c>
      <c r="DG57">
        <v>1.67936270050547E-3</v>
      </c>
      <c r="DH57">
        <v>527.5</v>
      </c>
      <c r="DI57">
        <v>99</v>
      </c>
      <c r="DJ57">
        <v>-415.5</v>
      </c>
      <c r="DK57">
        <v>105</v>
      </c>
      <c r="DL57">
        <v>0.52851330566406196</v>
      </c>
      <c r="DM57">
        <v>66.934837341308594</v>
      </c>
      <c r="DN57">
        <v>1.0193229980468701</v>
      </c>
      <c r="DO57">
        <v>50.317024230957003</v>
      </c>
      <c r="DP57">
        <v>56.050872802734297</v>
      </c>
      <c r="DQ57" t="s">
        <v>1192</v>
      </c>
      <c r="DR57" t="s">
        <v>1193</v>
      </c>
      <c r="DS57" t="s">
        <v>1194</v>
      </c>
      <c r="DT57" t="s">
        <v>1195</v>
      </c>
      <c r="DU57" t="s">
        <v>1189</v>
      </c>
      <c r="DV57" t="s">
        <v>1190</v>
      </c>
      <c r="DW57" t="s">
        <v>1196</v>
      </c>
      <c r="DX57">
        <v>1.9620144256277099E-2</v>
      </c>
      <c r="DY57">
        <v>101.80171931686201</v>
      </c>
      <c r="DZ57">
        <v>27.161449787830101</v>
      </c>
      <c r="EA57">
        <v>7.95612468663714</v>
      </c>
      <c r="EB57">
        <v>2.3950321799204501</v>
      </c>
      <c r="EC57">
        <v>3.2461534049356899</v>
      </c>
      <c r="ED57">
        <v>15.3737618574197</v>
      </c>
      <c r="EE57">
        <v>7.9561246866374402</v>
      </c>
      <c r="EF57">
        <v>203.60343863372401</v>
      </c>
      <c r="EG57">
        <v>13.5066259071301</v>
      </c>
      <c r="EH57">
        <v>7.0351150962161005E-2</v>
      </c>
      <c r="EI57">
        <v>7.5564178721808104E-3</v>
      </c>
      <c r="EJ57">
        <v>25.9112737857951</v>
      </c>
      <c r="EK57">
        <v>3.2461534049356899</v>
      </c>
      <c r="EL57">
        <v>0.39256389361510302</v>
      </c>
      <c r="EM57">
        <v>0.96243577666814895</v>
      </c>
      <c r="EN57">
        <v>0.31277173162490801</v>
      </c>
      <c r="EO57">
        <v>0.99604544900112002</v>
      </c>
      <c r="EP57" s="2">
        <v>2.0712603801183501E-8</v>
      </c>
      <c r="EQ57">
        <v>0.52301379366345702</v>
      </c>
      <c r="ER57">
        <v>10377.795868764</v>
      </c>
      <c r="ES57">
        <v>13.5066259071301</v>
      </c>
      <c r="ET57">
        <v>-1398.13651364976</v>
      </c>
      <c r="EU57">
        <v>84986.921531206404</v>
      </c>
      <c r="EV57">
        <v>0.91384030126177296</v>
      </c>
      <c r="EW57">
        <v>1.45293208816095</v>
      </c>
      <c r="EX57" s="2">
        <v>9.9828708217006694E-5</v>
      </c>
      <c r="EY57">
        <v>10232.9635532798</v>
      </c>
      <c r="EZ57" s="2">
        <v>9.1606512995480097E-5</v>
      </c>
      <c r="FA57">
        <v>9325.9361907820694</v>
      </c>
      <c r="FB57" s="2">
        <v>1.4304373025967701E-4</v>
      </c>
      <c r="FC57">
        <v>15000.3093573572</v>
      </c>
      <c r="FD57">
        <v>1429.94572701886</v>
      </c>
      <c r="FE57">
        <v>17376.418585252301</v>
      </c>
      <c r="FF57">
        <v>0.884739601186189</v>
      </c>
      <c r="FG57" s="2">
        <v>3.6605637652518101E-4</v>
      </c>
      <c r="FH57">
        <v>3.8321537763009901E-2</v>
      </c>
      <c r="FI57">
        <v>0.23808045842106601</v>
      </c>
      <c r="FJ57">
        <v>6522.0227718380602</v>
      </c>
      <c r="FK57">
        <v>1.9695408948745801</v>
      </c>
      <c r="FL57">
        <v>0.72790379738569599</v>
      </c>
      <c r="FM57">
        <v>2549.3460017196899</v>
      </c>
      <c r="FN57" s="2">
        <v>1.1116110967503001E-4</v>
      </c>
      <c r="FO57">
        <v>9468.74582975064</v>
      </c>
      <c r="FP57" s="2">
        <v>8.4058828595867701E-5</v>
      </c>
      <c r="FQ57">
        <v>6683.6949791037196</v>
      </c>
      <c r="FR57">
        <v>0.24513608408475601</v>
      </c>
      <c r="FS57" s="2">
        <v>26540151.390713599</v>
      </c>
      <c r="FT57">
        <v>201.532760103181</v>
      </c>
      <c r="FU57">
        <v>3.4657396406394002E-2</v>
      </c>
      <c r="FV57">
        <v>2853.7638865004301</v>
      </c>
      <c r="FW57">
        <v>0.49075905184874102</v>
      </c>
      <c r="FX57">
        <v>0.237725358734311</v>
      </c>
      <c r="FY57">
        <v>98.272775850991806</v>
      </c>
      <c r="FZ57">
        <v>2531.6510664964198</v>
      </c>
      <c r="GA57">
        <v>6.8132437434226896</v>
      </c>
    </row>
    <row r="58" spans="1:183" x14ac:dyDescent="0.2">
      <c r="A58" t="s">
        <v>2496</v>
      </c>
      <c r="B58" t="s">
        <v>182</v>
      </c>
      <c r="C58" t="s">
        <v>1197</v>
      </c>
      <c r="D58" s="1">
        <v>42468</v>
      </c>
      <c r="E58" t="s">
        <v>362</v>
      </c>
      <c r="F58" t="s">
        <v>185</v>
      </c>
      <c r="G58" t="s">
        <v>186</v>
      </c>
      <c r="H58">
        <v>1</v>
      </c>
      <c r="I58">
        <v>400</v>
      </c>
      <c r="J58">
        <v>10</v>
      </c>
      <c r="K58" t="s">
        <v>187</v>
      </c>
      <c r="L58" t="s">
        <v>1198</v>
      </c>
      <c r="M58">
        <v>5</v>
      </c>
      <c r="N58">
        <v>0.7890625</v>
      </c>
      <c r="O58">
        <v>0.7890625</v>
      </c>
      <c r="P58" t="s">
        <v>1199</v>
      </c>
      <c r="Q58">
        <v>0</v>
      </c>
      <c r="R58" t="s">
        <v>194</v>
      </c>
      <c r="T58">
        <v>73361.195475260407</v>
      </c>
      <c r="U58">
        <v>73599.866333007798</v>
      </c>
      <c r="V58">
        <v>23642</v>
      </c>
      <c r="W58">
        <v>16615.177345269301</v>
      </c>
      <c r="X58">
        <v>0.22648455000808199</v>
      </c>
      <c r="Y58">
        <v>29.193829807928399</v>
      </c>
      <c r="Z58">
        <v>1.93256447427303E-2</v>
      </c>
      <c r="AA58">
        <v>0.13269978820482001</v>
      </c>
      <c r="AB58">
        <v>1.96054398459815</v>
      </c>
      <c r="AC58">
        <v>0.51006251726862695</v>
      </c>
      <c r="AD58">
        <v>0.96054398459815304</v>
      </c>
      <c r="AE58" t="s">
        <v>1200</v>
      </c>
      <c r="AF58" t="s">
        <v>1201</v>
      </c>
      <c r="AG58" t="s">
        <v>1202</v>
      </c>
      <c r="AH58" t="s">
        <v>193</v>
      </c>
      <c r="AI58" t="s">
        <v>193</v>
      </c>
      <c r="AJ58" t="s">
        <v>193</v>
      </c>
      <c r="AK58" t="s">
        <v>193</v>
      </c>
      <c r="AL58" t="s">
        <v>193</v>
      </c>
      <c r="AM58" t="s">
        <v>193</v>
      </c>
      <c r="AN58" t="s">
        <v>193</v>
      </c>
      <c r="AO58" t="s">
        <v>193</v>
      </c>
      <c r="AP58" t="s">
        <v>193</v>
      </c>
      <c r="AQ58">
        <v>0.12975927207019899</v>
      </c>
      <c r="AR58" t="s">
        <v>193</v>
      </c>
      <c r="AS58" t="s">
        <v>193</v>
      </c>
      <c r="AT58">
        <v>92.070059761797694</v>
      </c>
      <c r="AU58" t="s">
        <v>193</v>
      </c>
      <c r="AV58" s="2">
        <v>42131633.6909253</v>
      </c>
      <c r="AW58">
        <v>52.304077489213903</v>
      </c>
      <c r="AX58">
        <v>1513.7301830187901</v>
      </c>
      <c r="AY58">
        <v>-3.9879469189545</v>
      </c>
      <c r="AZ58">
        <v>26.9857092046548</v>
      </c>
      <c r="BA58">
        <v>58</v>
      </c>
      <c r="BB58">
        <v>-522</v>
      </c>
      <c r="BC58">
        <v>29</v>
      </c>
      <c r="BD58">
        <v>46</v>
      </c>
      <c r="BE58">
        <v>58</v>
      </c>
      <c r="BF58">
        <v>69</v>
      </c>
      <c r="BG58">
        <v>82</v>
      </c>
      <c r="BH58">
        <v>38.906685582542103</v>
      </c>
      <c r="BI58">
        <v>159</v>
      </c>
      <c r="BJ58">
        <v>23</v>
      </c>
      <c r="BK58">
        <v>681</v>
      </c>
      <c r="BL58">
        <v>21.3323576986155</v>
      </c>
      <c r="BM58">
        <v>9.9858358371837692</v>
      </c>
      <c r="BN58">
        <v>20.586202520937299</v>
      </c>
      <c r="BO58">
        <v>0.74385568869970697</v>
      </c>
      <c r="BP58">
        <v>0.2</v>
      </c>
      <c r="BQ58" t="s">
        <v>194</v>
      </c>
      <c r="BR58" s="2">
        <v>100465419</v>
      </c>
      <c r="BS58">
        <v>65.187780335094203</v>
      </c>
      <c r="BT58">
        <v>3849.5731118774302</v>
      </c>
      <c r="BU58">
        <v>15777.1813964843</v>
      </c>
      <c r="BV58">
        <v>0.53233978271484295</v>
      </c>
      <c r="BW58">
        <v>83.584793090820298</v>
      </c>
      <c r="BX58">
        <v>1.0304355468749999</v>
      </c>
      <c r="BY58">
        <v>78.570999145507798</v>
      </c>
      <c r="BZ58" t="s">
        <v>194</v>
      </c>
      <c r="CA58" t="s">
        <v>1203</v>
      </c>
      <c r="CB58" t="s">
        <v>1204</v>
      </c>
      <c r="CC58" t="s">
        <v>1205</v>
      </c>
      <c r="CD58" t="s">
        <v>1206</v>
      </c>
      <c r="CE58" t="s">
        <v>1207</v>
      </c>
      <c r="CF58" t="s">
        <v>1208</v>
      </c>
      <c r="CG58" t="s">
        <v>1209</v>
      </c>
      <c r="CH58">
        <v>105.780517722697</v>
      </c>
      <c r="CI58">
        <v>15.230103479531399</v>
      </c>
      <c r="CJ58">
        <v>-3.9521260300911401</v>
      </c>
      <c r="CK58">
        <v>26.700927802472801</v>
      </c>
      <c r="CL58">
        <v>106</v>
      </c>
      <c r="CM58">
        <v>48</v>
      </c>
      <c r="CN58">
        <v>103</v>
      </c>
      <c r="CO58">
        <v>105</v>
      </c>
      <c r="CP58">
        <v>106</v>
      </c>
      <c r="CQ58">
        <v>107</v>
      </c>
      <c r="CR58">
        <v>109</v>
      </c>
      <c r="CS58">
        <v>3.9025765180879399</v>
      </c>
      <c r="CT58">
        <v>116</v>
      </c>
      <c r="CU58">
        <v>106</v>
      </c>
      <c r="CV58">
        <v>2</v>
      </c>
      <c r="CW58">
        <v>68</v>
      </c>
      <c r="CX58">
        <v>2.1524713513239999</v>
      </c>
      <c r="CY58">
        <v>1.1724752288004701</v>
      </c>
      <c r="CZ58">
        <v>2.06797225277049</v>
      </c>
      <c r="DA58">
        <v>3.6893150100839003E-2</v>
      </c>
      <c r="DB58">
        <v>9.4339622641509396E-3</v>
      </c>
      <c r="DC58">
        <v>1.0001137064401799</v>
      </c>
      <c r="DD58">
        <v>3.3223058195055701</v>
      </c>
      <c r="DE58">
        <v>1057.80517722695</v>
      </c>
      <c r="DF58">
        <v>0.146603523710822</v>
      </c>
      <c r="DG58">
        <v>2.4901763145626001E-3</v>
      </c>
      <c r="DH58">
        <v>2062.5</v>
      </c>
      <c r="DI58">
        <v>105</v>
      </c>
      <c r="DJ58">
        <v>-1739.5</v>
      </c>
      <c r="DK58">
        <v>108</v>
      </c>
      <c r="DL58">
        <v>0.53233978271484295</v>
      </c>
      <c r="DM58">
        <v>83.584793090820298</v>
      </c>
      <c r="DN58">
        <v>1.0304355468749999</v>
      </c>
      <c r="DO58">
        <v>78.570999145507798</v>
      </c>
      <c r="DP58" t="s">
        <v>194</v>
      </c>
      <c r="DQ58" t="s">
        <v>1210</v>
      </c>
      <c r="DR58" t="s">
        <v>1211</v>
      </c>
      <c r="DS58" t="s">
        <v>1212</v>
      </c>
      <c r="DT58" t="s">
        <v>1213</v>
      </c>
      <c r="DU58" t="s">
        <v>1207</v>
      </c>
      <c r="DV58" t="s">
        <v>1208</v>
      </c>
      <c r="DW58" t="s">
        <v>1214</v>
      </c>
      <c r="DX58">
        <v>8.0543720009450301E-2</v>
      </c>
      <c r="DY58">
        <v>106.015063504606</v>
      </c>
      <c r="DZ58">
        <v>10.730067924918499</v>
      </c>
      <c r="EA58">
        <v>6.0314664081213403</v>
      </c>
      <c r="EB58">
        <v>1.8156523066842101</v>
      </c>
      <c r="EC58">
        <v>1.93990891834423</v>
      </c>
      <c r="ED58">
        <v>9.9621397523499908</v>
      </c>
      <c r="EE58">
        <v>6.0314664081212896</v>
      </c>
      <c r="EF58">
        <v>212.030127009213</v>
      </c>
      <c r="EG58">
        <v>0.54725019907754002</v>
      </c>
      <c r="EH58">
        <v>1.4509569950466501E-3</v>
      </c>
      <c r="EI58">
        <v>3.25135286428197E-2</v>
      </c>
      <c r="EJ58">
        <v>13.725386363821499</v>
      </c>
      <c r="EK58">
        <v>1.93990891834423</v>
      </c>
      <c r="EL58">
        <v>0.52953765338748404</v>
      </c>
      <c r="EM58">
        <v>0.97426240499936201</v>
      </c>
      <c r="EN58">
        <v>0.48051188387816901</v>
      </c>
      <c r="EO58">
        <v>0.99730747902065597</v>
      </c>
      <c r="EP58" s="2">
        <v>9.9448713614181996E-10</v>
      </c>
      <c r="EQ58">
        <v>0.36042406908036101</v>
      </c>
      <c r="ER58">
        <v>11243.061064628801</v>
      </c>
      <c r="ES58">
        <v>0.54725019907754002</v>
      </c>
      <c r="ET58">
        <v>-537.17577956572302</v>
      </c>
      <c r="EU58">
        <v>22968.6326873416</v>
      </c>
      <c r="EV58">
        <v>0.85457540980907398</v>
      </c>
      <c r="EW58">
        <v>1.9613967302017901</v>
      </c>
      <c r="EX58" s="2">
        <v>9.0241199468804096E-5</v>
      </c>
      <c r="EY58">
        <v>11171.1776565153</v>
      </c>
      <c r="EZ58" s="2">
        <v>7.7405393994628205E-5</v>
      </c>
      <c r="FA58">
        <v>9521.7921193727107</v>
      </c>
      <c r="FB58" s="2">
        <v>1.7514092581897599E-4</v>
      </c>
      <c r="FC58">
        <v>22067.716992022801</v>
      </c>
      <c r="FD58">
        <v>2524.8368648250598</v>
      </c>
      <c r="FE58">
        <v>13293.5886341983</v>
      </c>
      <c r="FF58">
        <v>0.80497549992516504</v>
      </c>
      <c r="FG58" s="2">
        <v>2.9997095960682699E-4</v>
      </c>
      <c r="FH58">
        <v>1.5888479185460599E-2</v>
      </c>
      <c r="FI58">
        <v>0.33154168954216501</v>
      </c>
      <c r="FJ58">
        <v>2868.8866534059598</v>
      </c>
      <c r="FK58">
        <v>1.90150777432358</v>
      </c>
      <c r="FL58">
        <v>0.70104631666230499</v>
      </c>
      <c r="FM58">
        <v>17702.823738872401</v>
      </c>
      <c r="FN58" s="2">
        <v>9.9042788011568505E-5</v>
      </c>
      <c r="FO58">
        <v>10382.5807121661</v>
      </c>
      <c r="FP58" s="2">
        <v>7.1730583835854695E-5</v>
      </c>
      <c r="FQ58">
        <v>7074.6544962074204</v>
      </c>
      <c r="FR58">
        <v>1.5628745262124299</v>
      </c>
      <c r="FS58" s="2">
        <v>200568063.189614</v>
      </c>
      <c r="FT58">
        <v>165.86587537091901</v>
      </c>
      <c r="FU58">
        <v>4.9218360644189801E-2</v>
      </c>
      <c r="FV58">
        <v>1531.07240356083</v>
      </c>
      <c r="FW58">
        <v>0.45432415535929699</v>
      </c>
      <c r="FX58">
        <v>0.14254293207004401</v>
      </c>
      <c r="FY58">
        <v>60.442785002949599</v>
      </c>
      <c r="FZ58">
        <v>17653.607477040299</v>
      </c>
      <c r="GA58">
        <v>6.4346893847855098</v>
      </c>
    </row>
    <row r="59" spans="1:183" x14ac:dyDescent="0.2">
      <c r="A59" t="s">
        <v>2497</v>
      </c>
      <c r="B59" t="s">
        <v>182</v>
      </c>
      <c r="C59" t="s">
        <v>1215</v>
      </c>
      <c r="D59" s="1">
        <v>42639</v>
      </c>
      <c r="E59" t="s">
        <v>381</v>
      </c>
      <c r="F59" t="s">
        <v>185</v>
      </c>
      <c r="G59" t="s">
        <v>186</v>
      </c>
      <c r="H59">
        <v>1</v>
      </c>
      <c r="I59">
        <v>400</v>
      </c>
      <c r="J59">
        <v>10</v>
      </c>
      <c r="K59" t="s">
        <v>187</v>
      </c>
      <c r="L59" t="s">
        <v>1216</v>
      </c>
      <c r="M59">
        <v>5</v>
      </c>
      <c r="N59">
        <v>0.6328125</v>
      </c>
      <c r="O59">
        <v>0.6328125</v>
      </c>
      <c r="P59" t="s">
        <v>1217</v>
      </c>
      <c r="Q59">
        <v>0</v>
      </c>
      <c r="R59" t="s">
        <v>194</v>
      </c>
      <c r="T59">
        <v>11073.489532470699</v>
      </c>
      <c r="U59">
        <v>11170.599060058499</v>
      </c>
      <c r="V59">
        <v>5579</v>
      </c>
      <c r="W59">
        <v>4179.1411451873901</v>
      </c>
      <c r="X59">
        <v>0.377400559501405</v>
      </c>
      <c r="Y59">
        <v>24.397541153928898</v>
      </c>
      <c r="Z59">
        <v>2.31248542624919E-2</v>
      </c>
      <c r="AA59">
        <v>0.19000291109676101</v>
      </c>
      <c r="AB59">
        <v>1.73945520181135</v>
      </c>
      <c r="AC59">
        <v>0.57489264394890305</v>
      </c>
      <c r="AD59">
        <v>0.73945520181134905</v>
      </c>
      <c r="AE59" t="s">
        <v>1218</v>
      </c>
      <c r="AF59" t="s">
        <v>1219</v>
      </c>
      <c r="AG59" t="s">
        <v>1220</v>
      </c>
      <c r="AH59" t="s">
        <v>193</v>
      </c>
      <c r="AI59" t="s">
        <v>193</v>
      </c>
      <c r="AJ59" t="s">
        <v>193</v>
      </c>
      <c r="AK59" t="s">
        <v>193</v>
      </c>
      <c r="AL59" t="s">
        <v>193</v>
      </c>
      <c r="AM59" t="s">
        <v>193</v>
      </c>
      <c r="AN59" t="s">
        <v>193</v>
      </c>
      <c r="AO59" t="s">
        <v>193</v>
      </c>
      <c r="AP59" t="s">
        <v>193</v>
      </c>
      <c r="AQ59">
        <v>2.5574208699793899</v>
      </c>
      <c r="AR59" t="s">
        <v>193</v>
      </c>
      <c r="AS59" t="s">
        <v>193</v>
      </c>
      <c r="AT59">
        <v>47.872027511547898</v>
      </c>
      <c r="AU59" t="s">
        <v>193</v>
      </c>
      <c r="AV59">
        <v>503098.46178630798</v>
      </c>
      <c r="AW59">
        <v>45.432694031188397</v>
      </c>
      <c r="AX59">
        <v>3329.1230465331901</v>
      </c>
      <c r="AY59">
        <v>-2.9616534677015398</v>
      </c>
      <c r="AZ59">
        <v>13.867678922216299</v>
      </c>
      <c r="BA59">
        <v>61</v>
      </c>
      <c r="BB59">
        <v>-558</v>
      </c>
      <c r="BC59">
        <v>-20</v>
      </c>
      <c r="BD59">
        <v>40</v>
      </c>
      <c r="BE59">
        <v>61</v>
      </c>
      <c r="BF59">
        <v>74</v>
      </c>
      <c r="BG59">
        <v>87</v>
      </c>
      <c r="BH59">
        <v>57.698553244714802</v>
      </c>
      <c r="BI59">
        <v>184</v>
      </c>
      <c r="BJ59">
        <v>34</v>
      </c>
      <c r="BK59">
        <v>742</v>
      </c>
      <c r="BL59">
        <v>36.200671088779998</v>
      </c>
      <c r="BM59">
        <v>16.887805745834299</v>
      </c>
      <c r="BN59">
        <v>32.494353826850599</v>
      </c>
      <c r="BO59">
        <v>1.26997868990789</v>
      </c>
      <c r="BP59">
        <v>0.29824561403508698</v>
      </c>
      <c r="BQ59" t="s">
        <v>194</v>
      </c>
      <c r="BR59" s="2">
        <v>30088957</v>
      </c>
      <c r="BS59">
        <v>73.438768599866705</v>
      </c>
      <c r="BT59">
        <v>507.51040924072203</v>
      </c>
      <c r="BU59">
        <v>3186.2603759765602</v>
      </c>
      <c r="BV59">
        <v>0.51057586669921795</v>
      </c>
      <c r="BW59">
        <v>73.380393981933594</v>
      </c>
      <c r="BX59">
        <v>0.97509979248046796</v>
      </c>
      <c r="BY59">
        <v>70.236137390136705</v>
      </c>
      <c r="BZ59">
        <v>68.9375</v>
      </c>
      <c r="CA59" t="s">
        <v>1221</v>
      </c>
      <c r="CB59" t="s">
        <v>1222</v>
      </c>
      <c r="CC59" t="s">
        <v>1223</v>
      </c>
      <c r="CD59" t="s">
        <v>1224</v>
      </c>
      <c r="CE59" t="s">
        <v>1225</v>
      </c>
      <c r="CF59" t="s">
        <v>1226</v>
      </c>
      <c r="CG59" t="s">
        <v>1227</v>
      </c>
      <c r="CH59">
        <v>105.10647069367199</v>
      </c>
      <c r="CI59">
        <v>33.367764188556897</v>
      </c>
      <c r="CJ59">
        <v>-2.94515146572164</v>
      </c>
      <c r="CK59">
        <v>13.732009896276301</v>
      </c>
      <c r="CL59">
        <v>107</v>
      </c>
      <c r="CM59">
        <v>45</v>
      </c>
      <c r="CN59">
        <v>99</v>
      </c>
      <c r="CO59">
        <v>105</v>
      </c>
      <c r="CP59">
        <v>107</v>
      </c>
      <c r="CQ59">
        <v>108</v>
      </c>
      <c r="CR59">
        <v>109</v>
      </c>
      <c r="CS59">
        <v>5.7764837218291296</v>
      </c>
      <c r="CT59">
        <v>119</v>
      </c>
      <c r="CU59">
        <v>107</v>
      </c>
      <c r="CV59">
        <v>3</v>
      </c>
      <c r="CW59">
        <v>74</v>
      </c>
      <c r="CX59">
        <v>3.6206704391461901</v>
      </c>
      <c r="CY59">
        <v>1.69810041203232</v>
      </c>
      <c r="CZ59">
        <v>3.2600824520523299</v>
      </c>
      <c r="DA59">
        <v>5.4958402500873603E-2</v>
      </c>
      <c r="DB59">
        <v>1.4084507042253501E-2</v>
      </c>
      <c r="DC59">
        <v>1.16890936011919</v>
      </c>
      <c r="DD59">
        <v>3.8830328437567601</v>
      </c>
      <c r="DE59">
        <v>1051.0647069367301</v>
      </c>
      <c r="DF59">
        <v>0.108052850096807</v>
      </c>
      <c r="DG59">
        <v>4.4008841136392801E-3</v>
      </c>
      <c r="DH59">
        <v>323.5</v>
      </c>
      <c r="DI59">
        <v>106</v>
      </c>
      <c r="DJ59">
        <v>-336</v>
      </c>
      <c r="DK59">
        <v>109</v>
      </c>
      <c r="DL59">
        <v>0.51057586669921795</v>
      </c>
      <c r="DM59">
        <v>73.380393981933594</v>
      </c>
      <c r="DN59">
        <v>0.97509979248046796</v>
      </c>
      <c r="DO59">
        <v>70.236137390136705</v>
      </c>
      <c r="DP59">
        <v>68.9375</v>
      </c>
      <c r="DQ59" t="s">
        <v>1228</v>
      </c>
      <c r="DR59" t="s">
        <v>1229</v>
      </c>
      <c r="DS59" t="s">
        <v>1230</v>
      </c>
      <c r="DT59" t="s">
        <v>1231</v>
      </c>
      <c r="DU59" t="s">
        <v>1225</v>
      </c>
      <c r="DV59" t="s">
        <v>1226</v>
      </c>
      <c r="DW59" t="s">
        <v>1232</v>
      </c>
      <c r="DX59">
        <v>6.6700541343391498E-2</v>
      </c>
      <c r="DY59">
        <v>105.603343821454</v>
      </c>
      <c r="DZ59">
        <v>23.435962552954901</v>
      </c>
      <c r="EA59">
        <v>7.0459077163653703</v>
      </c>
      <c r="EB59">
        <v>2.12102956930626</v>
      </c>
      <c r="EC59">
        <v>3.0295100549160598</v>
      </c>
      <c r="ED59">
        <v>20.1177165826394</v>
      </c>
      <c r="EE59">
        <v>7.0459077163653898</v>
      </c>
      <c r="EF59">
        <v>211.20668764290801</v>
      </c>
      <c r="EG59">
        <v>3.4850942965698999</v>
      </c>
      <c r="EH59">
        <v>1.05770763510792E-2</v>
      </c>
      <c r="EI59">
        <v>2.1547789992189401E-2</v>
      </c>
      <c r="EJ59">
        <v>29.295647755476899</v>
      </c>
      <c r="EK59">
        <v>3.0295100549160598</v>
      </c>
      <c r="EL59">
        <v>0.47276177568566402</v>
      </c>
      <c r="EM59">
        <v>0.96392399729380196</v>
      </c>
      <c r="EN59">
        <v>0.41682565762063101</v>
      </c>
      <c r="EO59">
        <v>0.99508103977014895</v>
      </c>
      <c r="EP59">
        <v>0</v>
      </c>
      <c r="EQ59">
        <v>0.37498518165657102</v>
      </c>
      <c r="ER59">
        <v>11160.8543649475</v>
      </c>
      <c r="ES59">
        <v>3.4850942965698999</v>
      </c>
      <c r="ET59">
        <v>-1374.7073886912699</v>
      </c>
      <c r="EU59">
        <v>64004.384236728802</v>
      </c>
      <c r="EV59">
        <v>0.88908679127592105</v>
      </c>
      <c r="EW59">
        <v>1.7256022635883901</v>
      </c>
      <c r="EX59" s="2">
        <v>9.2404388491032006E-5</v>
      </c>
      <c r="EY59">
        <v>11014.506745361099</v>
      </c>
      <c r="EZ59" s="2">
        <v>8.2678602086708205E-5</v>
      </c>
      <c r="FA59">
        <v>9747.2759026337699</v>
      </c>
      <c r="FB59" s="2">
        <v>1.5598082657619801E-4</v>
      </c>
      <c r="FC59">
        <v>19308.633808089999</v>
      </c>
      <c r="FD59">
        <v>454.84494876609801</v>
      </c>
      <c r="FE59">
        <v>3628.7780162113099</v>
      </c>
      <c r="FF59">
        <v>0.84873219628552099</v>
      </c>
      <c r="FG59">
        <v>1.15606161342438E-3</v>
      </c>
      <c r="FH59">
        <v>4.8300217047428498E-2</v>
      </c>
      <c r="FI59">
        <v>8.5509248940367599E-2</v>
      </c>
      <c r="FJ59">
        <v>4706.8302065942198</v>
      </c>
      <c r="FK59">
        <v>5.5208426183025603</v>
      </c>
      <c r="FL59">
        <v>0.74283533007303304</v>
      </c>
      <c r="FM59">
        <v>1088.8679383712399</v>
      </c>
      <c r="FN59" s="2">
        <v>1.0272025775693899E-4</v>
      </c>
      <c r="FO59">
        <v>10125.2971386647</v>
      </c>
      <c r="FP59" s="2">
        <v>7.8917720664331206E-5</v>
      </c>
      <c r="FQ59">
        <v>7308.6888008817004</v>
      </c>
      <c r="FR59">
        <v>9.5065094412882606E-2</v>
      </c>
      <c r="FS59" s="2">
        <v>12475841.2773294</v>
      </c>
      <c r="FT59">
        <v>52.236977256052803</v>
      </c>
      <c r="FU59">
        <v>3.8325001655211098E-2</v>
      </c>
      <c r="FV59">
        <v>697.83052090975696</v>
      </c>
      <c r="FW59">
        <v>0.51198130661023999</v>
      </c>
      <c r="FX59">
        <v>0.24430901595267901</v>
      </c>
      <c r="FY59">
        <v>80.6399094828258</v>
      </c>
      <c r="FZ59">
        <v>1072.1138419254401</v>
      </c>
      <c r="GA59">
        <v>6.4190320256556097</v>
      </c>
    </row>
    <row r="60" spans="1:183" x14ac:dyDescent="0.2">
      <c r="A60" t="s">
        <v>2498</v>
      </c>
      <c r="B60" t="s">
        <v>182</v>
      </c>
      <c r="C60" t="s">
        <v>1233</v>
      </c>
      <c r="D60" s="1">
        <v>43536</v>
      </c>
      <c r="E60" t="s">
        <v>1234</v>
      </c>
      <c r="F60" t="s">
        <v>185</v>
      </c>
      <c r="G60" t="s">
        <v>186</v>
      </c>
      <c r="H60">
        <v>1</v>
      </c>
      <c r="I60">
        <v>400</v>
      </c>
      <c r="J60">
        <v>10</v>
      </c>
      <c r="K60" t="s">
        <v>187</v>
      </c>
      <c r="L60" t="s">
        <v>1235</v>
      </c>
      <c r="M60">
        <v>5</v>
      </c>
      <c r="N60">
        <v>0.71484375</v>
      </c>
      <c r="O60">
        <v>0.71484375</v>
      </c>
      <c r="P60" t="s">
        <v>1236</v>
      </c>
      <c r="Q60">
        <v>0</v>
      </c>
      <c r="R60" t="s">
        <v>194</v>
      </c>
      <c r="T60">
        <v>762.66986846923805</v>
      </c>
      <c r="U60">
        <v>802.27249145507801</v>
      </c>
      <c r="V60">
        <v>314</v>
      </c>
      <c r="W60">
        <v>653.86379111943097</v>
      </c>
      <c r="X60">
        <v>0.85733528771997702</v>
      </c>
      <c r="Y60">
        <v>21.922715286531599</v>
      </c>
      <c r="Z60">
        <v>2.57353879833658E-2</v>
      </c>
      <c r="AA60">
        <v>0.235322626033696</v>
      </c>
      <c r="AB60">
        <v>1.6197404870140999</v>
      </c>
      <c r="AC60">
        <v>0.61738285115255498</v>
      </c>
      <c r="AD60">
        <v>0.619740487014109</v>
      </c>
      <c r="AE60" t="s">
        <v>1237</v>
      </c>
      <c r="AF60" t="s">
        <v>1238</v>
      </c>
      <c r="AG60" t="s">
        <v>1239</v>
      </c>
      <c r="AH60" t="s">
        <v>193</v>
      </c>
      <c r="AI60" t="s">
        <v>193</v>
      </c>
      <c r="AJ60" t="s">
        <v>193</v>
      </c>
      <c r="AK60" t="s">
        <v>193</v>
      </c>
      <c r="AL60" t="s">
        <v>193</v>
      </c>
      <c r="AM60" t="s">
        <v>193</v>
      </c>
      <c r="AN60" t="s">
        <v>193</v>
      </c>
      <c r="AO60" t="s">
        <v>193</v>
      </c>
      <c r="AP60" t="s">
        <v>193</v>
      </c>
      <c r="AQ60">
        <v>0.23971075110359699</v>
      </c>
      <c r="AR60" t="s">
        <v>193</v>
      </c>
      <c r="AS60" t="s">
        <v>193</v>
      </c>
      <c r="AT60">
        <v>21.3594994809947</v>
      </c>
      <c r="AU60" t="s">
        <v>193</v>
      </c>
      <c r="AV60">
        <v>368163.09125146997</v>
      </c>
      <c r="AW60">
        <v>-31.270700636942699</v>
      </c>
      <c r="AX60">
        <v>7929.8980587447704</v>
      </c>
      <c r="AY60">
        <v>-2.5554725962545102</v>
      </c>
      <c r="AZ60">
        <v>8.0760084591466992</v>
      </c>
      <c r="BA60">
        <v>-5</v>
      </c>
      <c r="BB60">
        <v>-514</v>
      </c>
      <c r="BC60">
        <v>-128</v>
      </c>
      <c r="BD60">
        <v>-49</v>
      </c>
      <c r="BE60">
        <v>-5</v>
      </c>
      <c r="BF60">
        <v>23</v>
      </c>
      <c r="BG60">
        <v>40</v>
      </c>
      <c r="BH60">
        <v>89.0499750631339</v>
      </c>
      <c r="BI60">
        <v>53</v>
      </c>
      <c r="BJ60">
        <v>72</v>
      </c>
      <c r="BK60">
        <v>567</v>
      </c>
      <c r="BL60">
        <v>59.839790660878599</v>
      </c>
      <c r="BM60">
        <v>32.723492008936198</v>
      </c>
      <c r="BN60">
        <v>54.378980891719699</v>
      </c>
      <c r="BO60">
        <v>-2.8477128190064098</v>
      </c>
      <c r="BP60">
        <v>-2.7692307692307598</v>
      </c>
      <c r="BQ60" t="s">
        <v>194</v>
      </c>
      <c r="BR60">
        <v>2797035</v>
      </c>
      <c r="BS60">
        <v>94.3809026078372</v>
      </c>
      <c r="BT60">
        <v>-25.0876229095459</v>
      </c>
      <c r="BU60">
        <v>0</v>
      </c>
      <c r="BV60">
        <v>0.55954675292968703</v>
      </c>
      <c r="BW60" t="s">
        <v>194</v>
      </c>
      <c r="BX60">
        <v>1.0705483398437501</v>
      </c>
      <c r="BY60" t="s">
        <v>194</v>
      </c>
      <c r="BZ60" t="s">
        <v>194</v>
      </c>
      <c r="CA60" t="s">
        <v>1240</v>
      </c>
      <c r="CB60" t="s">
        <v>1241</v>
      </c>
      <c r="CC60" t="s">
        <v>1242</v>
      </c>
      <c r="CD60" t="s">
        <v>1243</v>
      </c>
      <c r="CE60" t="s">
        <v>1244</v>
      </c>
      <c r="CF60" t="s">
        <v>1245</v>
      </c>
      <c r="CG60" t="s">
        <v>1246</v>
      </c>
      <c r="CH60">
        <v>97.398089171974505</v>
      </c>
      <c r="CI60">
        <v>79.736429469755294</v>
      </c>
      <c r="CJ60">
        <v>-2.5428200181847398</v>
      </c>
      <c r="CK60">
        <v>8.0227506070747001</v>
      </c>
      <c r="CL60">
        <v>100</v>
      </c>
      <c r="CM60">
        <v>49</v>
      </c>
      <c r="CN60">
        <v>88</v>
      </c>
      <c r="CO60">
        <v>96</v>
      </c>
      <c r="CP60">
        <v>100</v>
      </c>
      <c r="CQ60">
        <v>103</v>
      </c>
      <c r="CR60">
        <v>105</v>
      </c>
      <c r="CS60">
        <v>8.9295257135950603</v>
      </c>
      <c r="CT60">
        <v>106</v>
      </c>
      <c r="CU60">
        <v>103</v>
      </c>
      <c r="CV60">
        <v>7</v>
      </c>
      <c r="CW60">
        <v>57</v>
      </c>
      <c r="CX60">
        <v>6.0114609111931303</v>
      </c>
      <c r="CY60">
        <v>3.4211220951296499</v>
      </c>
      <c r="CZ60">
        <v>5.4617834394904401</v>
      </c>
      <c r="DA60">
        <v>9.1680707388707705E-2</v>
      </c>
      <c r="DB60">
        <v>3.5175879396984903E-2</v>
      </c>
      <c r="DC60">
        <v>1.31240282268472</v>
      </c>
      <c r="DD60">
        <v>4.3597078084858802</v>
      </c>
      <c r="DE60">
        <v>973.980891719738</v>
      </c>
      <c r="DF60">
        <v>6.4485374660229605E-2</v>
      </c>
      <c r="DG60">
        <v>1.43306467133783E-2</v>
      </c>
      <c r="DH60">
        <v>5.5</v>
      </c>
      <c r="DI60">
        <v>96</v>
      </c>
      <c r="DJ60">
        <v>-14</v>
      </c>
      <c r="DK60">
        <v>106</v>
      </c>
      <c r="DL60">
        <v>0.55954675292968703</v>
      </c>
      <c r="DM60" t="s">
        <v>194</v>
      </c>
      <c r="DN60">
        <v>1.0705483398437501</v>
      </c>
      <c r="DO60" t="s">
        <v>194</v>
      </c>
      <c r="DP60" t="s">
        <v>194</v>
      </c>
      <c r="DQ60" t="s">
        <v>1247</v>
      </c>
      <c r="DR60" t="s">
        <v>1248</v>
      </c>
      <c r="DS60" t="s">
        <v>1249</v>
      </c>
      <c r="DT60" t="s">
        <v>1250</v>
      </c>
      <c r="DU60" t="s">
        <v>1244</v>
      </c>
      <c r="DV60" t="s">
        <v>1245</v>
      </c>
      <c r="DW60" t="s">
        <v>1251</v>
      </c>
      <c r="DX60">
        <v>3.2356532356532297E-2</v>
      </c>
      <c r="DY60">
        <v>97.584554334554497</v>
      </c>
      <c r="DZ60">
        <v>87.660432982090498</v>
      </c>
      <c r="EA60">
        <v>8.0317489767792907</v>
      </c>
      <c r="EB60">
        <v>2.4177973596540601</v>
      </c>
      <c r="EC60">
        <v>6.6452991452991199</v>
      </c>
      <c r="ED60">
        <v>88.137313066800203</v>
      </c>
      <c r="EE60">
        <v>8.0317489767792694</v>
      </c>
      <c r="EF60">
        <v>195.16910866910899</v>
      </c>
      <c r="EG60">
        <v>35.204030476135102</v>
      </c>
      <c r="EH60">
        <v>5.52025379323084E-2</v>
      </c>
      <c r="EI60">
        <v>7.3561969166364601E-3</v>
      </c>
      <c r="EJ60">
        <v>132.297313797313</v>
      </c>
      <c r="EK60">
        <v>6.6452991452991199</v>
      </c>
      <c r="EL60">
        <v>0.34722988187030301</v>
      </c>
      <c r="EM60">
        <v>0.91169962667972204</v>
      </c>
      <c r="EN60">
        <v>0.27943704029049499</v>
      </c>
      <c r="EO60">
        <v>0.96994453538335201</v>
      </c>
      <c r="EP60">
        <v>0</v>
      </c>
      <c r="EQ60">
        <v>0.245398925736866</v>
      </c>
      <c r="ER60">
        <v>9544.2570207570207</v>
      </c>
      <c r="ES60">
        <v>35.204030476135102</v>
      </c>
      <c r="ET60">
        <v>-7542.7540494760897</v>
      </c>
      <c r="EU60">
        <v>507157.373363244</v>
      </c>
      <c r="EV60">
        <v>0.96204002410595402</v>
      </c>
      <c r="EW60">
        <v>1.22850982940289</v>
      </c>
      <c r="EX60" s="2">
        <v>1.10457581190368E-4</v>
      </c>
      <c r="EY60">
        <v>9516.5760686360409</v>
      </c>
      <c r="EZ60" s="2">
        <v>1.06711873094531E-4</v>
      </c>
      <c r="FA60">
        <v>9126.5696043733897</v>
      </c>
      <c r="FB60" s="2">
        <v>1.32601410686467E-4</v>
      </c>
      <c r="FC60">
        <v>11898.8948303991</v>
      </c>
      <c r="FD60">
        <v>18.5894147830289</v>
      </c>
      <c r="FE60">
        <v>273.077254253332</v>
      </c>
      <c r="FF60">
        <v>0.94610485056344895</v>
      </c>
      <c r="FG60">
        <v>1.4279960033635001E-2</v>
      </c>
      <c r="FH60">
        <v>0.53790603977989504</v>
      </c>
      <c r="FI60">
        <v>1.5092099578615299E-2</v>
      </c>
      <c r="FJ60">
        <v>3965.1879011052001</v>
      </c>
      <c r="FK60">
        <v>23.121409415592002</v>
      </c>
      <c r="FL60">
        <v>0.74262806707044904</v>
      </c>
      <c r="FM60">
        <v>9.3764705882352892</v>
      </c>
      <c r="FN60" s="2">
        <v>1.18682045865408E-4</v>
      </c>
      <c r="FO60">
        <v>8984.0411764705805</v>
      </c>
      <c r="FP60" s="2">
        <v>9.1708478937752098E-5</v>
      </c>
      <c r="FQ60">
        <v>6446.5000519883797</v>
      </c>
      <c r="FR60" s="2">
        <v>9.11203043725821E-4</v>
      </c>
      <c r="FS60">
        <v>98094.229411764696</v>
      </c>
      <c r="FT60">
        <v>7.8705882352941101</v>
      </c>
      <c r="FU60">
        <v>4.6297577854671201E-2</v>
      </c>
      <c r="FV60">
        <v>86.964705882352902</v>
      </c>
      <c r="FW60">
        <v>0.51155709342560496</v>
      </c>
      <c r="FX60">
        <v>0.54140127388534998</v>
      </c>
      <c r="FY60">
        <v>102.64183391003399</v>
      </c>
      <c r="FZ60">
        <v>5.9648442906574397</v>
      </c>
      <c r="GA60">
        <v>5.70458513096996</v>
      </c>
    </row>
    <row r="61" spans="1:183" x14ac:dyDescent="0.2">
      <c r="A61" t="s">
        <v>2499</v>
      </c>
      <c r="B61" t="s">
        <v>182</v>
      </c>
      <c r="C61" t="s">
        <v>1252</v>
      </c>
      <c r="D61" s="1">
        <v>43265</v>
      </c>
      <c r="E61" t="s">
        <v>362</v>
      </c>
      <c r="F61" t="s">
        <v>185</v>
      </c>
      <c r="G61" t="s">
        <v>186</v>
      </c>
      <c r="H61">
        <v>1</v>
      </c>
      <c r="I61">
        <v>400</v>
      </c>
      <c r="J61">
        <v>10</v>
      </c>
      <c r="K61" t="s">
        <v>187</v>
      </c>
      <c r="L61" t="s">
        <v>1253</v>
      </c>
      <c r="M61">
        <v>5</v>
      </c>
      <c r="N61">
        <v>0.775390625</v>
      </c>
      <c r="O61">
        <v>0.775390625</v>
      </c>
      <c r="P61" t="s">
        <v>1254</v>
      </c>
      <c r="Q61">
        <v>0</v>
      </c>
      <c r="R61" t="s">
        <v>194</v>
      </c>
      <c r="T61">
        <v>51848.750964005703</v>
      </c>
      <c r="U61">
        <v>52613.691673278801</v>
      </c>
      <c r="V61">
        <v>17502</v>
      </c>
      <c r="W61">
        <v>20946.1407373558</v>
      </c>
      <c r="X61">
        <v>0.40398544512474299</v>
      </c>
      <c r="Y61">
        <v>58.467931187151002</v>
      </c>
      <c r="Z61">
        <v>9.6495561257645898E-3</v>
      </c>
      <c r="AA61">
        <v>3.3083916736572898E-2</v>
      </c>
      <c r="AB61">
        <v>3.1150213452631301</v>
      </c>
      <c r="AC61">
        <v>0.32102508752328501</v>
      </c>
      <c r="AD61">
        <v>2.1150213452631301</v>
      </c>
      <c r="AE61" t="s">
        <v>1255</v>
      </c>
      <c r="AF61" t="s">
        <v>1256</v>
      </c>
      <c r="AG61" t="s">
        <v>1257</v>
      </c>
      <c r="AH61" t="s">
        <v>193</v>
      </c>
      <c r="AI61" t="s">
        <v>193</v>
      </c>
      <c r="AJ61" t="s">
        <v>193</v>
      </c>
      <c r="AK61" t="s">
        <v>193</v>
      </c>
      <c r="AL61" t="s">
        <v>193</v>
      </c>
      <c r="AM61" t="s">
        <v>193</v>
      </c>
      <c r="AN61" t="s">
        <v>193</v>
      </c>
      <c r="AO61" t="s">
        <v>193</v>
      </c>
      <c r="AP61" t="s">
        <v>193</v>
      </c>
      <c r="AQ61">
        <v>0.31626277348609899</v>
      </c>
      <c r="AR61" t="s">
        <v>193</v>
      </c>
      <c r="AS61" t="s">
        <v>193</v>
      </c>
      <c r="AT61">
        <v>97.707979473023599</v>
      </c>
      <c r="AU61" t="s">
        <v>193</v>
      </c>
      <c r="AV61" s="2">
        <v>46677612.735289998</v>
      </c>
      <c r="AW61">
        <v>0.26494114958291098</v>
      </c>
      <c r="AX61">
        <v>8603.1313260135903</v>
      </c>
      <c r="AY61">
        <v>-2.6137834382985101</v>
      </c>
      <c r="AZ61">
        <v>12.305989742560399</v>
      </c>
      <c r="BA61">
        <v>15</v>
      </c>
      <c r="BB61">
        <v>-900</v>
      </c>
      <c r="BC61">
        <v>-84</v>
      </c>
      <c r="BD61">
        <v>-23</v>
      </c>
      <c r="BE61">
        <v>15</v>
      </c>
      <c r="BF61">
        <v>54</v>
      </c>
      <c r="BG61">
        <v>79</v>
      </c>
      <c r="BH61">
        <v>92.753066396823698</v>
      </c>
      <c r="BI61">
        <v>612</v>
      </c>
      <c r="BJ61">
        <v>77</v>
      </c>
      <c r="BK61">
        <v>1512</v>
      </c>
      <c r="BL61">
        <v>58.970785166220502</v>
      </c>
      <c r="BM61">
        <v>32.834015598843699</v>
      </c>
      <c r="BN61">
        <v>57.4669752028339</v>
      </c>
      <c r="BO61">
        <v>350.089318110237</v>
      </c>
      <c r="BP61">
        <v>2.4838709677419302</v>
      </c>
      <c r="BQ61" t="s">
        <v>194</v>
      </c>
      <c r="BR61" s="2">
        <v>150573233</v>
      </c>
      <c r="BS61">
        <v>92.753444786844994</v>
      </c>
      <c r="BT61">
        <v>13.9395319557193</v>
      </c>
      <c r="BU61">
        <v>34901.4375686645</v>
      </c>
      <c r="BV61">
        <v>0.44190451049804602</v>
      </c>
      <c r="BW61">
        <v>83.782310485839801</v>
      </c>
      <c r="BX61">
        <v>0.99503668212890595</v>
      </c>
      <c r="BY61">
        <v>74.655586242675696</v>
      </c>
      <c r="BZ61">
        <v>83.027023315429602</v>
      </c>
      <c r="CA61" t="s">
        <v>1258</v>
      </c>
      <c r="CB61" t="s">
        <v>1259</v>
      </c>
      <c r="CC61" t="s">
        <v>1260</v>
      </c>
      <c r="CD61" t="s">
        <v>1261</v>
      </c>
      <c r="CE61" t="s">
        <v>1262</v>
      </c>
      <c r="CF61" t="s">
        <v>1263</v>
      </c>
      <c r="CG61" t="s">
        <v>1264</v>
      </c>
      <c r="CH61">
        <v>100.577876814078</v>
      </c>
      <c r="CI61">
        <v>86.217423945972598</v>
      </c>
      <c r="CJ61">
        <v>-2.6095400182619599</v>
      </c>
      <c r="CK61">
        <v>12.282285506368501</v>
      </c>
      <c r="CL61">
        <v>102</v>
      </c>
      <c r="CM61">
        <v>11</v>
      </c>
      <c r="CN61">
        <v>92</v>
      </c>
      <c r="CO61">
        <v>98</v>
      </c>
      <c r="CP61">
        <v>102</v>
      </c>
      <c r="CQ61">
        <v>106</v>
      </c>
      <c r="CR61">
        <v>108</v>
      </c>
      <c r="CS61">
        <v>9.2853338090761497</v>
      </c>
      <c r="CT61">
        <v>162</v>
      </c>
      <c r="CU61">
        <v>101</v>
      </c>
      <c r="CV61">
        <v>8</v>
      </c>
      <c r="CW61">
        <v>151</v>
      </c>
      <c r="CX61">
        <v>5.9123843704309902</v>
      </c>
      <c r="CY61">
        <v>3.3462540304753499</v>
      </c>
      <c r="CZ61">
        <v>5.74620043423608</v>
      </c>
      <c r="DA61">
        <v>9.2319843122562695E-2</v>
      </c>
      <c r="DB61">
        <v>3.9215686274509803E-2</v>
      </c>
      <c r="DC61">
        <v>1.44199787905401</v>
      </c>
      <c r="DD61">
        <v>4.7902132671975099</v>
      </c>
      <c r="DE61">
        <v>1005.77876814072</v>
      </c>
      <c r="DF61">
        <v>4.8976377004748203E-2</v>
      </c>
      <c r="DG61">
        <v>1.67282106197264E-3</v>
      </c>
      <c r="DH61">
        <v>206.5</v>
      </c>
      <c r="DI61">
        <v>98</v>
      </c>
      <c r="DJ61">
        <v>-216.5</v>
      </c>
      <c r="DK61">
        <v>108</v>
      </c>
      <c r="DL61">
        <v>0.44190451049804602</v>
      </c>
      <c r="DM61">
        <v>83.782310485839801</v>
      </c>
      <c r="DN61">
        <v>0.99503668212890595</v>
      </c>
      <c r="DO61">
        <v>74.655586242675696</v>
      </c>
      <c r="DP61">
        <v>83.027023315429602</v>
      </c>
      <c r="DQ61" t="s">
        <v>1265</v>
      </c>
      <c r="DR61" t="s">
        <v>1266</v>
      </c>
      <c r="DS61" t="s">
        <v>1267</v>
      </c>
      <c r="DT61" t="s">
        <v>1268</v>
      </c>
      <c r="DU61" t="s">
        <v>1262</v>
      </c>
      <c r="DV61" t="s">
        <v>1263</v>
      </c>
      <c r="DW61" t="s">
        <v>1269</v>
      </c>
      <c r="DX61">
        <v>1.29344355827476E-2</v>
      </c>
      <c r="DY61">
        <v>101.385532369472</v>
      </c>
      <c r="DZ61">
        <v>68.6378221770388</v>
      </c>
      <c r="EA61">
        <v>8.8902915726498097</v>
      </c>
      <c r="EB61">
        <v>2.6762444335662501</v>
      </c>
      <c r="EC61">
        <v>4.9820702380519402</v>
      </c>
      <c r="ED61">
        <v>53.613964064503499</v>
      </c>
      <c r="EE61">
        <v>8.8902915726504403</v>
      </c>
      <c r="EF61">
        <v>202.77106473894401</v>
      </c>
      <c r="EG61">
        <v>196.043883969587</v>
      </c>
      <c r="EH61">
        <v>8.8901803161464006</v>
      </c>
      <c r="EI61">
        <v>4.4547202426981599E-3</v>
      </c>
      <c r="EJ61">
        <v>78.434987921385797</v>
      </c>
      <c r="EK61">
        <v>4.9820702380519402</v>
      </c>
      <c r="EL61">
        <v>0.35761536727761001</v>
      </c>
      <c r="EM61">
        <v>0.97009427992233499</v>
      </c>
      <c r="EN61">
        <v>0.28084416372285298</v>
      </c>
      <c r="EO61">
        <v>0.99676238599692502</v>
      </c>
      <c r="EP61" s="2">
        <v>2.53780181083683E-5</v>
      </c>
      <c r="EQ61">
        <v>0.42863143501933199</v>
      </c>
      <c r="ER61">
        <v>10308.446502057601</v>
      </c>
      <c r="ES61">
        <v>196.043883969587</v>
      </c>
      <c r="ET61">
        <v>-6458.1902670004501</v>
      </c>
      <c r="EU61">
        <v>557687.91900197603</v>
      </c>
      <c r="EV61">
        <v>0.93633631699210196</v>
      </c>
      <c r="EW61">
        <v>1.3338199304440199</v>
      </c>
      <c r="EX61" s="2">
        <v>1.05885711115442E-4</v>
      </c>
      <c r="EY61">
        <v>10156.104840178999</v>
      </c>
      <c r="EZ61" s="2">
        <v>9.98609077424502E-5</v>
      </c>
      <c r="FA61">
        <v>9476.8984077611294</v>
      </c>
      <c r="FB61" s="2">
        <v>1.37436318679876E-4</v>
      </c>
      <c r="FC61">
        <v>13719.008875975</v>
      </c>
      <c r="FD61">
        <v>757.05599604907502</v>
      </c>
      <c r="FE61">
        <v>13648.0563205784</v>
      </c>
      <c r="FF61">
        <v>0.91340769846083503</v>
      </c>
      <c r="FG61" s="2">
        <v>4.65486903923444E-4</v>
      </c>
      <c r="FH61">
        <v>4.9863970074607397E-2</v>
      </c>
      <c r="FI61">
        <v>0.111926103889028</v>
      </c>
      <c r="FJ61">
        <v>25253.067615094598</v>
      </c>
      <c r="FK61">
        <v>5.9456458960596699</v>
      </c>
      <c r="FL61">
        <v>0.72832107527739298</v>
      </c>
      <c r="FM61">
        <v>156.17906799083201</v>
      </c>
      <c r="FN61" s="2">
        <v>1.2108032546955999E-4</v>
      </c>
      <c r="FO61">
        <v>9487.76256684492</v>
      </c>
      <c r="FP61" s="2">
        <v>9.3942734968692002E-5</v>
      </c>
      <c r="FQ61">
        <v>6683.5329591245199</v>
      </c>
      <c r="FR61">
        <v>1.47151294095627E-2</v>
      </c>
      <c r="FS61">
        <v>1667789.52574484</v>
      </c>
      <c r="FT61">
        <v>207.905423987776</v>
      </c>
      <c r="FU61">
        <v>3.17655346047023E-2</v>
      </c>
      <c r="FV61">
        <v>3214.41084797555</v>
      </c>
      <c r="FW61">
        <v>0.49112465209710499</v>
      </c>
      <c r="FX61">
        <v>0.37395726202719598</v>
      </c>
      <c r="FY61">
        <v>162.961128743183</v>
      </c>
      <c r="FZ61">
        <v>149.02824451511199</v>
      </c>
      <c r="GA61">
        <v>7.02021626077281</v>
      </c>
    </row>
    <row r="62" spans="1:183" x14ac:dyDescent="0.2">
      <c r="A62" t="s">
        <v>2500</v>
      </c>
      <c r="B62" t="s">
        <v>182</v>
      </c>
      <c r="C62" t="s">
        <v>1270</v>
      </c>
      <c r="D62" s="1">
        <v>42242</v>
      </c>
      <c r="E62" t="s">
        <v>1049</v>
      </c>
      <c r="F62" t="s">
        <v>185</v>
      </c>
      <c r="G62" t="s">
        <v>186</v>
      </c>
      <c r="H62">
        <v>1</v>
      </c>
      <c r="I62">
        <v>400</v>
      </c>
      <c r="J62">
        <v>10</v>
      </c>
      <c r="K62" t="s">
        <v>187</v>
      </c>
      <c r="L62" t="s">
        <v>1271</v>
      </c>
      <c r="M62">
        <v>5</v>
      </c>
      <c r="N62">
        <v>0.6796875</v>
      </c>
      <c r="O62">
        <v>0.6796875</v>
      </c>
      <c r="P62" t="s">
        <v>1272</v>
      </c>
      <c r="Q62">
        <v>0</v>
      </c>
      <c r="R62" t="s">
        <v>194</v>
      </c>
      <c r="T62">
        <v>33507.823791503899</v>
      </c>
      <c r="U62">
        <v>33703.393249511697</v>
      </c>
      <c r="V62">
        <v>14591</v>
      </c>
      <c r="W62">
        <v>8345.8887274100598</v>
      </c>
      <c r="X62">
        <v>0.249072836819865</v>
      </c>
      <c r="Y62">
        <v>22.754257172795601</v>
      </c>
      <c r="Z62">
        <v>2.47949023017233E-2</v>
      </c>
      <c r="AA62">
        <v>0.21843742532261601</v>
      </c>
      <c r="AB62">
        <v>1.66044432045019</v>
      </c>
      <c r="AC62">
        <v>0.602248438977388</v>
      </c>
      <c r="AD62">
        <v>0.66044432045019197</v>
      </c>
      <c r="AE62" t="s">
        <v>1273</v>
      </c>
      <c r="AF62" t="s">
        <v>1274</v>
      </c>
      <c r="AG62" t="s">
        <v>1275</v>
      </c>
      <c r="AH62" t="s">
        <v>193</v>
      </c>
      <c r="AI62" t="s">
        <v>193</v>
      </c>
      <c r="AJ62" t="s">
        <v>193</v>
      </c>
      <c r="AK62" t="s">
        <v>193</v>
      </c>
      <c r="AL62" t="s">
        <v>193</v>
      </c>
      <c r="AM62" t="s">
        <v>193</v>
      </c>
      <c r="AN62" t="s">
        <v>193</v>
      </c>
      <c r="AO62" t="s">
        <v>193</v>
      </c>
      <c r="AP62" t="s">
        <v>193</v>
      </c>
      <c r="AQ62">
        <v>7.9521408916715303E-2</v>
      </c>
      <c r="AR62" t="s">
        <v>193</v>
      </c>
      <c r="AS62" t="s">
        <v>193</v>
      </c>
      <c r="AT62">
        <v>55.5928151490047</v>
      </c>
      <c r="AU62" t="s">
        <v>193</v>
      </c>
      <c r="AV62" s="2">
        <v>22914404.872576699</v>
      </c>
      <c r="AW62">
        <v>52.852374751559303</v>
      </c>
      <c r="AX62">
        <v>3716.0882746360599</v>
      </c>
      <c r="AY62">
        <v>-3.5763579023884802</v>
      </c>
      <c r="AZ62">
        <v>18.555601254580299</v>
      </c>
      <c r="BA62">
        <v>67</v>
      </c>
      <c r="BB62">
        <v>-631</v>
      </c>
      <c r="BC62">
        <v>4</v>
      </c>
      <c r="BD62">
        <v>47</v>
      </c>
      <c r="BE62">
        <v>67</v>
      </c>
      <c r="BF62">
        <v>83</v>
      </c>
      <c r="BG62">
        <v>96</v>
      </c>
      <c r="BH62">
        <v>60.959726661428398</v>
      </c>
      <c r="BI62">
        <v>150</v>
      </c>
      <c r="BJ62">
        <v>36</v>
      </c>
      <c r="BK62">
        <v>781</v>
      </c>
      <c r="BL62">
        <v>35.565353199596501</v>
      </c>
      <c r="BM62">
        <v>16.100518351599899</v>
      </c>
      <c r="BN62">
        <v>32.727571790829899</v>
      </c>
      <c r="BO62">
        <v>1.1533961709001499</v>
      </c>
      <c r="BP62">
        <v>0.27692307692307599</v>
      </c>
      <c r="BQ62" t="s">
        <v>194</v>
      </c>
      <c r="BR62" s="2">
        <v>94979557</v>
      </c>
      <c r="BS62">
        <v>80.681235684112494</v>
      </c>
      <c r="BT62">
        <v>1781.3043704223601</v>
      </c>
      <c r="BU62">
        <v>9862.3983764648401</v>
      </c>
      <c r="BV62">
        <v>0.524341735839843</v>
      </c>
      <c r="BW62">
        <v>94.566368103027301</v>
      </c>
      <c r="BX62">
        <v>1.05099340820312</v>
      </c>
      <c r="BY62">
        <v>86.545051574707003</v>
      </c>
      <c r="BZ62">
        <v>55</v>
      </c>
      <c r="CA62" t="s">
        <v>1276</v>
      </c>
      <c r="CB62" t="s">
        <v>1277</v>
      </c>
      <c r="CC62" t="s">
        <v>1278</v>
      </c>
      <c r="CD62" t="s">
        <v>1279</v>
      </c>
      <c r="CE62" t="s">
        <v>1280</v>
      </c>
      <c r="CF62" t="s">
        <v>1281</v>
      </c>
      <c r="CG62" t="s">
        <v>1282</v>
      </c>
      <c r="CH62">
        <v>105.83743403467901</v>
      </c>
      <c r="CI62">
        <v>37.273688817096797</v>
      </c>
      <c r="CJ62">
        <v>-3.5661590207154101</v>
      </c>
      <c r="CK62">
        <v>18.513064769352901</v>
      </c>
      <c r="CL62">
        <v>107</v>
      </c>
      <c r="CM62">
        <v>37</v>
      </c>
      <c r="CN62">
        <v>101</v>
      </c>
      <c r="CO62">
        <v>105</v>
      </c>
      <c r="CP62">
        <v>107</v>
      </c>
      <c r="CQ62">
        <v>109</v>
      </c>
      <c r="CR62">
        <v>110</v>
      </c>
      <c r="CS62">
        <v>6.1052181629403499</v>
      </c>
      <c r="CT62">
        <v>116</v>
      </c>
      <c r="CU62">
        <v>108</v>
      </c>
      <c r="CV62">
        <v>4</v>
      </c>
      <c r="CW62">
        <v>79</v>
      </c>
      <c r="CX62">
        <v>3.5655263723167998</v>
      </c>
      <c r="CY62">
        <v>1.6523470793067701</v>
      </c>
      <c r="CZ62">
        <v>3.2692070454389599</v>
      </c>
      <c r="DA62">
        <v>5.7684865649141603E-2</v>
      </c>
      <c r="DB62">
        <v>1.86915887850467E-2</v>
      </c>
      <c r="DC62">
        <v>1.1699785515815899</v>
      </c>
      <c r="DD62">
        <v>3.8865846209145101</v>
      </c>
      <c r="DE62">
        <v>1058.3743403467799</v>
      </c>
      <c r="DF62">
        <v>9.9003533070015998E-2</v>
      </c>
      <c r="DG62">
        <v>2.6048505897963699E-3</v>
      </c>
      <c r="DH62">
        <v>584</v>
      </c>
      <c r="DI62">
        <v>106</v>
      </c>
      <c r="DJ62">
        <v>-645.5</v>
      </c>
      <c r="DK62">
        <v>110</v>
      </c>
      <c r="DL62">
        <v>0.524341735839843</v>
      </c>
      <c r="DM62">
        <v>94.566368103027301</v>
      </c>
      <c r="DN62">
        <v>1.05099340820312</v>
      </c>
      <c r="DO62">
        <v>86.545051574707003</v>
      </c>
      <c r="DP62">
        <v>55</v>
      </c>
      <c r="DQ62" t="s">
        <v>1283</v>
      </c>
      <c r="DR62" t="s">
        <v>1284</v>
      </c>
      <c r="DS62" t="s">
        <v>1285</v>
      </c>
      <c r="DT62" t="s">
        <v>1286</v>
      </c>
      <c r="DU62" t="s">
        <v>1280</v>
      </c>
      <c r="DV62" t="s">
        <v>1281</v>
      </c>
      <c r="DW62" t="s">
        <v>1287</v>
      </c>
      <c r="DX62">
        <v>4.5500460023033297E-2</v>
      </c>
      <c r="DY62">
        <v>106.428020871534</v>
      </c>
      <c r="DZ62">
        <v>24.427071766811899</v>
      </c>
      <c r="EA62">
        <v>6.9906029262086697</v>
      </c>
      <c r="EB62">
        <v>2.1043811685652098</v>
      </c>
      <c r="EC62">
        <v>2.7306066513540102</v>
      </c>
      <c r="ED62">
        <v>21.461941818981401</v>
      </c>
      <c r="EE62">
        <v>6.9906029262089699</v>
      </c>
      <c r="EF62">
        <v>212.856041743068</v>
      </c>
      <c r="EG62">
        <v>14.641969716611101</v>
      </c>
      <c r="EH62">
        <v>5.53067931741636E-2</v>
      </c>
      <c r="EI62">
        <v>1.7540829974372701E-2</v>
      </c>
      <c r="EJ62">
        <v>28.918154503400199</v>
      </c>
      <c r="EK62">
        <v>2.7306066513540102</v>
      </c>
      <c r="EL62">
        <v>0.48965728413602999</v>
      </c>
      <c r="EM62">
        <v>0.96949502019076605</v>
      </c>
      <c r="EN62">
        <v>0.43486032309686301</v>
      </c>
      <c r="EO62">
        <v>0.99585132124025699</v>
      </c>
      <c r="EP62" s="2">
        <v>1.5465590555383999E-7</v>
      </c>
      <c r="EQ62">
        <v>0.40807161047665602</v>
      </c>
      <c r="ER62">
        <v>11336.8916211469</v>
      </c>
      <c r="ES62">
        <v>14.641969716611101</v>
      </c>
      <c r="ET62">
        <v>-2028.1224604000399</v>
      </c>
      <c r="EU62">
        <v>121657.503192483</v>
      </c>
      <c r="EV62">
        <v>0.86742605529599603</v>
      </c>
      <c r="EW62">
        <v>1.9056013594008701</v>
      </c>
      <c r="EX62" s="2">
        <v>9.1539117253679997E-5</v>
      </c>
      <c r="EY62">
        <v>11165.040585484699</v>
      </c>
      <c r="EZ62" s="2">
        <v>8.0033421754924398E-5</v>
      </c>
      <c r="FA62">
        <v>9633.7625246408097</v>
      </c>
      <c r="FB62" s="2">
        <v>1.7005144439044E-4</v>
      </c>
      <c r="FC62">
        <v>21632.024702642098</v>
      </c>
      <c r="FD62">
        <v>1092.45792068687</v>
      </c>
      <c r="FE62">
        <v>8689.7517492659499</v>
      </c>
      <c r="FF62">
        <v>0.82014729838730904</v>
      </c>
      <c r="FG62" s="2">
        <v>5.03630705439501E-4</v>
      </c>
      <c r="FH62">
        <v>3.7907833910062E-2</v>
      </c>
      <c r="FI62">
        <v>0.16356164878263299</v>
      </c>
      <c r="FJ62">
        <v>6510.7758388070697</v>
      </c>
      <c r="FK62">
        <v>4.2082393761460999</v>
      </c>
      <c r="FL62">
        <v>0.75515489588390305</v>
      </c>
      <c r="FM62">
        <v>4551.4935508345898</v>
      </c>
      <c r="FN62" s="2">
        <v>1.06977578788539E-4</v>
      </c>
      <c r="FO62">
        <v>9909.2128224582702</v>
      </c>
      <c r="FP62" s="2">
        <v>8.4126402487108394E-5</v>
      </c>
      <c r="FQ62">
        <v>7228.9526924281899</v>
      </c>
      <c r="FR62">
        <v>0.39299377014175502</v>
      </c>
      <c r="FS62" s="2">
        <v>52741250.927920997</v>
      </c>
      <c r="FT62">
        <v>96.521244309559904</v>
      </c>
      <c r="FU62">
        <v>3.6616557021835999E-2</v>
      </c>
      <c r="FV62">
        <v>1396.31790591805</v>
      </c>
      <c r="FW62">
        <v>0.52971088995373905</v>
      </c>
      <c r="FX62">
        <v>0.18065931053389001</v>
      </c>
      <c r="FY62">
        <v>108.438162589429</v>
      </c>
      <c r="FZ62">
        <v>4520.8542180926597</v>
      </c>
      <c r="GA62">
        <v>6.5423987676606696</v>
      </c>
    </row>
    <row r="63" spans="1:183" x14ac:dyDescent="0.2">
      <c r="A63" t="s">
        <v>2501</v>
      </c>
      <c r="B63" t="s">
        <v>182</v>
      </c>
      <c r="C63" t="s">
        <v>1288</v>
      </c>
      <c r="D63" s="1">
        <v>42080</v>
      </c>
      <c r="E63" t="s">
        <v>362</v>
      </c>
      <c r="F63" t="s">
        <v>185</v>
      </c>
      <c r="G63" t="s">
        <v>186</v>
      </c>
      <c r="H63">
        <v>1</v>
      </c>
      <c r="I63">
        <v>400</v>
      </c>
      <c r="J63">
        <v>10</v>
      </c>
      <c r="K63" t="s">
        <v>187</v>
      </c>
      <c r="L63" t="s">
        <v>1289</v>
      </c>
      <c r="M63">
        <v>5</v>
      </c>
      <c r="N63">
        <v>0.716796875</v>
      </c>
      <c r="O63">
        <v>0.716796875</v>
      </c>
      <c r="P63" t="s">
        <v>1290</v>
      </c>
      <c r="Q63">
        <v>0</v>
      </c>
      <c r="R63" t="s">
        <v>194</v>
      </c>
      <c r="T63">
        <v>59396.733716328898</v>
      </c>
      <c r="U63">
        <v>59592.833194732601</v>
      </c>
      <c r="V63">
        <v>23197</v>
      </c>
      <c r="W63">
        <v>13405.413070144699</v>
      </c>
      <c r="X63">
        <v>0.2256927650966</v>
      </c>
      <c r="Y63">
        <v>26.131102756577</v>
      </c>
      <c r="Z63">
        <v>2.1590729974292899E-2</v>
      </c>
      <c r="AA63">
        <v>0.16562919763019299</v>
      </c>
      <c r="AB63">
        <v>1.8209067284282301</v>
      </c>
      <c r="AC63">
        <v>0.54917694815877705</v>
      </c>
      <c r="AD63">
        <v>0.82090672842823098</v>
      </c>
      <c r="AE63" t="s">
        <v>1291</v>
      </c>
      <c r="AF63" t="s">
        <v>1292</v>
      </c>
      <c r="AG63" t="s">
        <v>1293</v>
      </c>
      <c r="AH63" t="s">
        <v>193</v>
      </c>
      <c r="AI63" t="s">
        <v>193</v>
      </c>
      <c r="AJ63" t="s">
        <v>193</v>
      </c>
      <c r="AK63" t="s">
        <v>193</v>
      </c>
      <c r="AL63" t="s">
        <v>193</v>
      </c>
      <c r="AM63" t="s">
        <v>193</v>
      </c>
      <c r="AN63" t="s">
        <v>193</v>
      </c>
      <c r="AO63" t="s">
        <v>193</v>
      </c>
      <c r="AP63" t="s">
        <v>193</v>
      </c>
      <c r="AQ63">
        <v>0.51423071562609102</v>
      </c>
      <c r="AR63" t="s">
        <v>193</v>
      </c>
      <c r="AS63" t="s">
        <v>193</v>
      </c>
      <c r="AT63">
        <v>75.826909267537602</v>
      </c>
      <c r="AU63" t="s">
        <v>193</v>
      </c>
      <c r="AV63" s="2">
        <v>53743778.827888601</v>
      </c>
      <c r="AW63">
        <v>46.827175927921502</v>
      </c>
      <c r="AX63">
        <v>7304.0162153853998</v>
      </c>
      <c r="AY63">
        <v>-3.0890829085226601</v>
      </c>
      <c r="AZ63">
        <v>17.439781651455</v>
      </c>
      <c r="BA63">
        <v>58</v>
      </c>
      <c r="BB63">
        <v>-858</v>
      </c>
      <c r="BC63">
        <v>-24</v>
      </c>
      <c r="BD63">
        <v>35</v>
      </c>
      <c r="BE63">
        <v>58</v>
      </c>
      <c r="BF63">
        <v>86</v>
      </c>
      <c r="BG63">
        <v>116</v>
      </c>
      <c r="BH63">
        <v>85.463537344211304</v>
      </c>
      <c r="BI63">
        <v>541</v>
      </c>
      <c r="BJ63">
        <v>51</v>
      </c>
      <c r="BK63">
        <v>1399</v>
      </c>
      <c r="BL63">
        <v>49.096329966679399</v>
      </c>
      <c r="BM63">
        <v>23.377462522243601</v>
      </c>
      <c r="BN63">
        <v>47.527525111005701</v>
      </c>
      <c r="BO63">
        <v>1.82508416641995</v>
      </c>
      <c r="BP63">
        <v>0.421487603305785</v>
      </c>
      <c r="BQ63" t="s">
        <v>194</v>
      </c>
      <c r="BR63" s="2">
        <v>220297284</v>
      </c>
      <c r="BS63">
        <v>97.451529596871495</v>
      </c>
      <c r="BT63">
        <v>2790.56408405303</v>
      </c>
      <c r="BU63">
        <v>42743.691984812402</v>
      </c>
      <c r="BV63">
        <v>0.43929708862304601</v>
      </c>
      <c r="BW63">
        <v>121.2163772583</v>
      </c>
      <c r="BX63">
        <v>1.07640625</v>
      </c>
      <c r="BY63">
        <v>102.505966186523</v>
      </c>
      <c r="BZ63">
        <v>87.209678649902301</v>
      </c>
      <c r="CA63" t="s">
        <v>1294</v>
      </c>
      <c r="CB63" t="s">
        <v>1295</v>
      </c>
      <c r="CC63" t="s">
        <v>1296</v>
      </c>
      <c r="CD63" t="s">
        <v>1297</v>
      </c>
      <c r="CE63" t="s">
        <v>1298</v>
      </c>
      <c r="CF63" t="s">
        <v>1299</v>
      </c>
      <c r="CG63" t="s">
        <v>1300</v>
      </c>
      <c r="CH63">
        <v>105.23205586929301</v>
      </c>
      <c r="CI63">
        <v>73.131691307305999</v>
      </c>
      <c r="CJ63">
        <v>-3.08380069912725</v>
      </c>
      <c r="CK63">
        <v>17.402473379625601</v>
      </c>
      <c r="CL63">
        <v>106</v>
      </c>
      <c r="CM63">
        <v>15</v>
      </c>
      <c r="CN63">
        <v>98</v>
      </c>
      <c r="CO63">
        <v>104</v>
      </c>
      <c r="CP63">
        <v>106</v>
      </c>
      <c r="CQ63">
        <v>109</v>
      </c>
      <c r="CR63">
        <v>112</v>
      </c>
      <c r="CS63">
        <v>8.5517069236092293</v>
      </c>
      <c r="CT63">
        <v>155</v>
      </c>
      <c r="CU63">
        <v>106</v>
      </c>
      <c r="CV63">
        <v>5</v>
      </c>
      <c r="CW63">
        <v>140</v>
      </c>
      <c r="CX63">
        <v>4.9204506696819204</v>
      </c>
      <c r="CY63">
        <v>2.4489727123258</v>
      </c>
      <c r="CZ63">
        <v>4.75820149157218</v>
      </c>
      <c r="DA63">
        <v>8.1265227149330904E-2</v>
      </c>
      <c r="DB63">
        <v>2.3474178403755801E-2</v>
      </c>
      <c r="DC63">
        <v>1.36385824099936</v>
      </c>
      <c r="DD63">
        <v>4.5306390082194499</v>
      </c>
      <c r="DE63">
        <v>1052.3205586929701</v>
      </c>
      <c r="DF63">
        <v>6.5265144397878103E-2</v>
      </c>
      <c r="DG63">
        <v>1.67735404508749E-3</v>
      </c>
      <c r="DH63">
        <v>724.5</v>
      </c>
      <c r="DI63">
        <v>104</v>
      </c>
      <c r="DJ63">
        <v>-435</v>
      </c>
      <c r="DK63">
        <v>108</v>
      </c>
      <c r="DL63">
        <v>0.43929708862304601</v>
      </c>
      <c r="DM63">
        <v>121.2163772583</v>
      </c>
      <c r="DN63">
        <v>1.07640625</v>
      </c>
      <c r="DO63">
        <v>102.505966186523</v>
      </c>
      <c r="DP63">
        <v>87.209678649902301</v>
      </c>
      <c r="DQ63" t="s">
        <v>1301</v>
      </c>
      <c r="DR63" t="s">
        <v>1302</v>
      </c>
      <c r="DS63" t="s">
        <v>1303</v>
      </c>
      <c r="DT63" t="s">
        <v>1304</v>
      </c>
      <c r="DU63" t="s">
        <v>1298</v>
      </c>
      <c r="DV63" t="s">
        <v>1299</v>
      </c>
      <c r="DW63" t="s">
        <v>1305</v>
      </c>
      <c r="DX63">
        <v>2.8264205216959298E-2</v>
      </c>
      <c r="DY63">
        <v>105.57374133144199</v>
      </c>
      <c r="DZ63">
        <v>62.660993514587702</v>
      </c>
      <c r="EA63">
        <v>8.3749889374036304</v>
      </c>
      <c r="EB63">
        <v>2.5211228835125801</v>
      </c>
      <c r="EC63">
        <v>4.1295626359626203</v>
      </c>
      <c r="ED63">
        <v>43.814477620410003</v>
      </c>
      <c r="EE63">
        <v>8.3749889374031206</v>
      </c>
      <c r="EF63">
        <v>211.14748266288399</v>
      </c>
      <c r="EG63">
        <v>189.093274570695</v>
      </c>
      <c r="EH63">
        <v>8.3730172053302105</v>
      </c>
      <c r="EI63">
        <v>8.0185406771180294E-3</v>
      </c>
      <c r="EJ63">
        <v>60.867765184748798</v>
      </c>
      <c r="EK63">
        <v>4.1295626359626203</v>
      </c>
      <c r="EL63">
        <v>0.40193202227601199</v>
      </c>
      <c r="EM63">
        <v>0.97326351580166104</v>
      </c>
      <c r="EN63">
        <v>0.331519458198134</v>
      </c>
      <c r="EO63">
        <v>0.99711387811026497</v>
      </c>
      <c r="EP63" s="2">
        <v>1.51258111807992E-5</v>
      </c>
      <c r="EQ63">
        <v>0.51430896822136696</v>
      </c>
      <c r="ER63">
        <v>11178.041969640501</v>
      </c>
      <c r="ES63">
        <v>189.093274570695</v>
      </c>
      <c r="ET63">
        <v>-7920.5832420160395</v>
      </c>
      <c r="EU63">
        <v>750699.32214080298</v>
      </c>
      <c r="EV63">
        <v>0.90828113862705495</v>
      </c>
      <c r="EW63">
        <v>1.5393717111167</v>
      </c>
      <c r="EX63" s="2">
        <v>9.5317352636237399E-5</v>
      </c>
      <c r="EY63">
        <v>11108.036451714201</v>
      </c>
      <c r="EZ63" s="2">
        <v>8.7223792730232398E-5</v>
      </c>
      <c r="FA63">
        <v>10060.884557417199</v>
      </c>
      <c r="FB63" s="2">
        <v>1.42923458551816E-4</v>
      </c>
      <c r="FC63">
        <v>17254.872871898999</v>
      </c>
      <c r="FD63">
        <v>1227.0267577263</v>
      </c>
      <c r="FE63">
        <v>16141.3979325295</v>
      </c>
      <c r="FF63">
        <v>0.87370382774960897</v>
      </c>
      <c r="FG63" s="2">
        <v>3.39440402087979E-4</v>
      </c>
      <c r="FH63">
        <v>3.0497080634117602E-2</v>
      </c>
      <c r="FI63">
        <v>0.132768109969712</v>
      </c>
      <c r="FJ63">
        <v>22698.068077891901</v>
      </c>
      <c r="FK63">
        <v>6.0557156091831299</v>
      </c>
      <c r="FL63">
        <v>0.70749703196931502</v>
      </c>
      <c r="FM63">
        <v>1134.9742377303101</v>
      </c>
      <c r="FN63" s="2">
        <v>1.11004800646308E-4</v>
      </c>
      <c r="FO63">
        <v>10357.0415783466</v>
      </c>
      <c r="FP63" s="2">
        <v>8.3537807504510304E-5</v>
      </c>
      <c r="FQ63">
        <v>7085.6559256304499</v>
      </c>
      <c r="FR63">
        <v>0.1010657995717</v>
      </c>
      <c r="FS63" s="2">
        <v>12757590.8873308</v>
      </c>
      <c r="FT63">
        <v>174.871514756236</v>
      </c>
      <c r="FU63">
        <v>2.8513209645562799E-2</v>
      </c>
      <c r="FV63">
        <v>2838.9474971465802</v>
      </c>
      <c r="FW63">
        <v>0.46289703198215898</v>
      </c>
      <c r="FX63">
        <v>0.26438763633228402</v>
      </c>
      <c r="FY63">
        <v>194.57384900481199</v>
      </c>
      <c r="FZ63">
        <v>1120.66825436877</v>
      </c>
      <c r="GA63">
        <v>7.2847976387229902</v>
      </c>
    </row>
    <row r="64" spans="1:183" x14ac:dyDescent="0.2">
      <c r="A64" t="s">
        <v>2502</v>
      </c>
      <c r="B64" t="s">
        <v>182</v>
      </c>
      <c r="C64" t="s">
        <v>1306</v>
      </c>
      <c r="D64" s="1">
        <v>42026</v>
      </c>
      <c r="E64" t="s">
        <v>1307</v>
      </c>
      <c r="F64" t="s">
        <v>185</v>
      </c>
      <c r="G64" t="s">
        <v>186</v>
      </c>
      <c r="H64">
        <v>1</v>
      </c>
      <c r="I64">
        <v>400</v>
      </c>
      <c r="J64">
        <v>10</v>
      </c>
      <c r="K64" t="s">
        <v>187</v>
      </c>
      <c r="L64" t="s">
        <v>1308</v>
      </c>
      <c r="M64">
        <v>3</v>
      </c>
      <c r="N64">
        <v>0.794921875</v>
      </c>
      <c r="O64">
        <v>0.794921875</v>
      </c>
      <c r="P64" t="s">
        <v>1309</v>
      </c>
      <c r="Q64">
        <v>0</v>
      </c>
      <c r="R64" t="s">
        <v>194</v>
      </c>
      <c r="T64">
        <v>253284.16069412199</v>
      </c>
      <c r="U64">
        <v>253536.92100906299</v>
      </c>
      <c r="V64">
        <v>133743</v>
      </c>
      <c r="W64">
        <v>32653.677545688701</v>
      </c>
      <c r="X64">
        <v>0.128921119489674</v>
      </c>
      <c r="Y64">
        <v>23.296469917483101</v>
      </c>
      <c r="Z64">
        <v>2.4217814353253202E-2</v>
      </c>
      <c r="AA64">
        <v>0.208387726976063</v>
      </c>
      <c r="AB64">
        <v>1.68671854855139</v>
      </c>
      <c r="AC64">
        <v>0.59286713889453102</v>
      </c>
      <c r="AD64">
        <v>0.68671854855138903</v>
      </c>
      <c r="AE64" t="s">
        <v>1310</v>
      </c>
      <c r="AF64" t="s">
        <v>1311</v>
      </c>
      <c r="AG64" t="s">
        <v>1312</v>
      </c>
      <c r="AH64" t="s">
        <v>193</v>
      </c>
      <c r="AI64" t="s">
        <v>193</v>
      </c>
      <c r="AJ64" t="s">
        <v>193</v>
      </c>
      <c r="AK64" t="s">
        <v>193</v>
      </c>
      <c r="AL64" t="s">
        <v>193</v>
      </c>
      <c r="AM64" t="s">
        <v>193</v>
      </c>
      <c r="AN64" t="s">
        <v>193</v>
      </c>
      <c r="AO64" t="s">
        <v>193</v>
      </c>
      <c r="AP64" t="s">
        <v>193</v>
      </c>
      <c r="AQ64">
        <v>0.18370850094361099</v>
      </c>
      <c r="AR64" t="s">
        <v>193</v>
      </c>
      <c r="AS64" t="s">
        <v>193</v>
      </c>
      <c r="AT64">
        <v>129.73501643358</v>
      </c>
      <c r="AU64" t="s">
        <v>193</v>
      </c>
      <c r="AV64" s="2">
        <v>250211362.85201001</v>
      </c>
      <c r="AW64">
        <v>39.868180016897902</v>
      </c>
      <c r="AX64">
        <v>2542.4040436784899</v>
      </c>
      <c r="AY64">
        <v>-6.1590397636529701</v>
      </c>
      <c r="AZ64">
        <v>76.144300031581906</v>
      </c>
      <c r="BA64">
        <v>45</v>
      </c>
      <c r="BB64">
        <v>-948</v>
      </c>
      <c r="BC64">
        <v>9</v>
      </c>
      <c r="BD64">
        <v>28</v>
      </c>
      <c r="BE64">
        <v>45</v>
      </c>
      <c r="BF64">
        <v>61</v>
      </c>
      <c r="BG64">
        <v>75</v>
      </c>
      <c r="BH64">
        <v>50.422257423468203</v>
      </c>
      <c r="BI64">
        <v>698</v>
      </c>
      <c r="BJ64">
        <v>33</v>
      </c>
      <c r="BK64">
        <v>1646</v>
      </c>
      <c r="BL64">
        <v>25.5002517145684</v>
      </c>
      <c r="BM64">
        <v>13.8847672972935</v>
      </c>
      <c r="BN64">
        <v>25.087511122077402</v>
      </c>
      <c r="BO64">
        <v>1.2647243340954299</v>
      </c>
      <c r="BP64">
        <v>0.37078651685393199</v>
      </c>
      <c r="BQ64" t="s">
        <v>194</v>
      </c>
      <c r="BR64" s="2">
        <v>552609468</v>
      </c>
      <c r="BS64">
        <v>64.279668803894097</v>
      </c>
      <c r="BT64">
        <v>10108.0556077193</v>
      </c>
      <c r="BU64">
        <v>176778.03666687</v>
      </c>
      <c r="BV64">
        <v>0.47582128906249999</v>
      </c>
      <c r="BW64">
        <v>103.16732788085901</v>
      </c>
      <c r="BX64">
        <v>1.06348901367187</v>
      </c>
      <c r="BY64">
        <v>82.391075134277301</v>
      </c>
      <c r="BZ64">
        <v>67.574882507324205</v>
      </c>
      <c r="CA64" t="s">
        <v>1313</v>
      </c>
      <c r="CB64" t="s">
        <v>1314</v>
      </c>
      <c r="CC64" t="s">
        <v>1315</v>
      </c>
      <c r="CD64" t="s">
        <v>1316</v>
      </c>
      <c r="CE64" t="s">
        <v>1317</v>
      </c>
      <c r="CF64" t="s">
        <v>1318</v>
      </c>
      <c r="CG64" t="s">
        <v>1319</v>
      </c>
      <c r="CH64">
        <v>104.537448688902</v>
      </c>
      <c r="CI64">
        <v>25.502674444580801</v>
      </c>
      <c r="CJ64">
        <v>-6.12632829983664</v>
      </c>
      <c r="CK64">
        <v>75.583075193253293</v>
      </c>
      <c r="CL64">
        <v>105</v>
      </c>
      <c r="CM64">
        <v>6</v>
      </c>
      <c r="CN64">
        <v>101</v>
      </c>
      <c r="CO64">
        <v>103</v>
      </c>
      <c r="CP64">
        <v>105</v>
      </c>
      <c r="CQ64">
        <v>107</v>
      </c>
      <c r="CR64">
        <v>108</v>
      </c>
      <c r="CS64">
        <v>5.0500172717111402</v>
      </c>
      <c r="CT64">
        <v>170</v>
      </c>
      <c r="CU64">
        <v>105</v>
      </c>
      <c r="CV64">
        <v>4</v>
      </c>
      <c r="CW64">
        <v>164</v>
      </c>
      <c r="CX64">
        <v>2.5766308776154099</v>
      </c>
      <c r="CY64">
        <v>1.52384003820745</v>
      </c>
      <c r="CZ64">
        <v>2.4953455507951801</v>
      </c>
      <c r="DA64">
        <v>4.8308212368370303E-2</v>
      </c>
      <c r="DB64">
        <v>1.9047619047619001E-2</v>
      </c>
      <c r="DC64">
        <v>1.09141653155527</v>
      </c>
      <c r="DD64">
        <v>3.6256072393979899</v>
      </c>
      <c r="DE64">
        <v>1045.3744868890999</v>
      </c>
      <c r="DF64">
        <v>0.1101138237814</v>
      </c>
      <c r="DG64" s="2">
        <v>9.07372037988508E-4</v>
      </c>
      <c r="DH64">
        <v>5240</v>
      </c>
      <c r="DI64">
        <v>103</v>
      </c>
      <c r="DJ64">
        <v>-5534.5</v>
      </c>
      <c r="DK64">
        <v>107</v>
      </c>
      <c r="DL64">
        <v>0.47582128906249999</v>
      </c>
      <c r="DM64">
        <v>103.16732788085901</v>
      </c>
      <c r="DN64">
        <v>1.06348901367187</v>
      </c>
      <c r="DO64">
        <v>82.391075134277301</v>
      </c>
      <c r="DP64">
        <v>67.574882507324205</v>
      </c>
      <c r="DQ64" t="s">
        <v>1320</v>
      </c>
      <c r="DR64" t="s">
        <v>1321</v>
      </c>
      <c r="DS64" t="s">
        <v>1322</v>
      </c>
      <c r="DT64" t="s">
        <v>1323</v>
      </c>
      <c r="DU64" t="s">
        <v>1317</v>
      </c>
      <c r="DV64" t="s">
        <v>1318</v>
      </c>
      <c r="DW64" t="s">
        <v>1324</v>
      </c>
      <c r="DX64">
        <v>3.2110266480241401E-2</v>
      </c>
      <c r="DY64">
        <v>104.739861879643</v>
      </c>
      <c r="DZ64">
        <v>19.539250287506398</v>
      </c>
      <c r="EA64">
        <v>6.8707568333189899</v>
      </c>
      <c r="EB64">
        <v>2.0683038997423</v>
      </c>
      <c r="EC64">
        <v>2.5195880743644201</v>
      </c>
      <c r="ED64">
        <v>12.5637336465744</v>
      </c>
      <c r="EE64">
        <v>6.8707568333191498</v>
      </c>
      <c r="EF64">
        <v>209.479723759286</v>
      </c>
      <c r="EG64">
        <v>59.234788663458197</v>
      </c>
      <c r="EH64">
        <v>6.8707433379750196</v>
      </c>
      <c r="EI64">
        <v>1.49148190969438E-2</v>
      </c>
      <c r="EJ64">
        <v>18.912057711053802</v>
      </c>
      <c r="EK64">
        <v>2.5195880743644201</v>
      </c>
      <c r="EL64">
        <v>0.42918238842310902</v>
      </c>
      <c r="EM64">
        <v>0.98534179694823698</v>
      </c>
      <c r="EN64">
        <v>0.352214391164203</v>
      </c>
      <c r="EO64">
        <v>0.99933033356508405</v>
      </c>
      <c r="EP64" s="2">
        <v>4.7912370471476499E-5</v>
      </c>
      <c r="EQ64">
        <v>0.51604955582287004</v>
      </c>
      <c r="ER64">
        <v>10980.521887998701</v>
      </c>
      <c r="ES64">
        <v>59.234788663458197</v>
      </c>
      <c r="ET64">
        <v>-3089.1760618980102</v>
      </c>
      <c r="EU64">
        <v>330433.07638282602</v>
      </c>
      <c r="EV64">
        <v>0.89700293058087899</v>
      </c>
      <c r="EW64">
        <v>1.53728704557372</v>
      </c>
      <c r="EX64" s="2">
        <v>9.4226141139161802E-5</v>
      </c>
      <c r="EY64">
        <v>10938.5195803636</v>
      </c>
      <c r="EZ64" s="2">
        <v>8.4880632772474704E-5</v>
      </c>
      <c r="FA64">
        <v>9800.7351197875796</v>
      </c>
      <c r="FB64" s="2">
        <v>1.4294854376781401E-4</v>
      </c>
      <c r="FC64">
        <v>16875.5356689369</v>
      </c>
      <c r="FD64">
        <v>12110.9840904872</v>
      </c>
      <c r="FE64">
        <v>88401.453185392005</v>
      </c>
      <c r="FF64">
        <v>0.86354080932488697</v>
      </c>
      <c r="FG64" s="2">
        <v>5.38401672591782E-5</v>
      </c>
      <c r="FH64">
        <v>4.4149556143471503E-3</v>
      </c>
      <c r="FI64">
        <v>0.65471242252930295</v>
      </c>
      <c r="FJ64">
        <v>20167.905561748899</v>
      </c>
      <c r="FK64">
        <v>2.8059781188362498</v>
      </c>
      <c r="FL64">
        <v>0.68394103641215998</v>
      </c>
      <c r="FM64">
        <v>63385.001769996103</v>
      </c>
      <c r="FN64" s="2">
        <v>1.08944611888474E-4</v>
      </c>
      <c r="FO64">
        <v>10524.3786835055</v>
      </c>
      <c r="FP64" s="2">
        <v>7.9183275444199503E-5</v>
      </c>
      <c r="FQ64">
        <v>7096.99260076261</v>
      </c>
      <c r="FR64">
        <v>5.7230363395454003</v>
      </c>
      <c r="FS64" s="2">
        <v>702329428.88758099</v>
      </c>
      <c r="FT64">
        <v>1133.41006505931</v>
      </c>
      <c r="FU64">
        <v>5.4219769664146503E-2</v>
      </c>
      <c r="FV64">
        <v>9042.5000956754593</v>
      </c>
      <c r="FW64">
        <v>0.43257271793319302</v>
      </c>
      <c r="FX64">
        <v>0.15629976895986999</v>
      </c>
      <c r="FY64">
        <v>117.919295929607</v>
      </c>
      <c r="FZ64">
        <v>63344.067850803003</v>
      </c>
      <c r="GA64">
        <v>6.6614168101869904</v>
      </c>
    </row>
    <row r="65" spans="1:183" x14ac:dyDescent="0.2">
      <c r="A65" t="s">
        <v>2503</v>
      </c>
      <c r="B65" t="s">
        <v>182</v>
      </c>
      <c r="C65" t="s">
        <v>1325</v>
      </c>
      <c r="D65" s="1">
        <v>41968</v>
      </c>
      <c r="E65" t="s">
        <v>362</v>
      </c>
      <c r="F65" t="s">
        <v>185</v>
      </c>
      <c r="G65" t="s">
        <v>186</v>
      </c>
      <c r="H65">
        <v>1</v>
      </c>
      <c r="I65">
        <v>400</v>
      </c>
      <c r="J65">
        <v>10</v>
      </c>
      <c r="K65" t="s">
        <v>187</v>
      </c>
      <c r="L65" t="s">
        <v>1326</v>
      </c>
      <c r="M65">
        <v>5</v>
      </c>
      <c r="N65">
        <v>0.697265625</v>
      </c>
      <c r="O65">
        <v>0.697265625</v>
      </c>
      <c r="P65" t="s">
        <v>1327</v>
      </c>
      <c r="Q65">
        <v>0</v>
      </c>
      <c r="R65" t="s">
        <v>194</v>
      </c>
      <c r="T65">
        <v>270770.09472370101</v>
      </c>
      <c r="U65">
        <v>271188.41154098499</v>
      </c>
      <c r="V65">
        <v>111559</v>
      </c>
      <c r="W65">
        <v>49635.6799717248</v>
      </c>
      <c r="X65">
        <v>0.18331300590035199</v>
      </c>
      <c r="Y65">
        <v>40.840426306911198</v>
      </c>
      <c r="Z65">
        <v>1.38144881081293E-2</v>
      </c>
      <c r="AA65">
        <v>6.7806579965341798E-2</v>
      </c>
      <c r="AB65">
        <v>2.4523138637333699</v>
      </c>
      <c r="AC65">
        <v>0.40777814568874599</v>
      </c>
      <c r="AD65">
        <v>1.4523138637333599</v>
      </c>
      <c r="AE65" t="s">
        <v>1328</v>
      </c>
      <c r="AF65" t="s">
        <v>1329</v>
      </c>
      <c r="AG65" t="s">
        <v>1330</v>
      </c>
      <c r="AH65" t="s">
        <v>193</v>
      </c>
      <c r="AI65" t="s">
        <v>193</v>
      </c>
      <c r="AJ65" t="s">
        <v>193</v>
      </c>
      <c r="AK65" t="s">
        <v>193</v>
      </c>
      <c r="AL65" t="s">
        <v>193</v>
      </c>
      <c r="AM65" t="s">
        <v>193</v>
      </c>
      <c r="AN65" t="s">
        <v>193</v>
      </c>
      <c r="AO65" t="s">
        <v>193</v>
      </c>
      <c r="AP65" t="s">
        <v>193</v>
      </c>
      <c r="AQ65">
        <v>0.117966044091321</v>
      </c>
      <c r="AR65" t="s">
        <v>193</v>
      </c>
      <c r="AS65" t="s">
        <v>193</v>
      </c>
      <c r="AT65">
        <v>152.44711308434199</v>
      </c>
      <c r="AU65" t="s">
        <v>193</v>
      </c>
      <c r="AV65" s="2">
        <v>299747446.23906398</v>
      </c>
      <c r="AW65">
        <v>83.018286287974902</v>
      </c>
      <c r="AX65">
        <v>10834.6849532172</v>
      </c>
      <c r="AY65">
        <v>-4.0768225166612497</v>
      </c>
      <c r="AZ65">
        <v>22.217331133350999</v>
      </c>
      <c r="BA65">
        <v>111</v>
      </c>
      <c r="BB65">
        <v>-1024</v>
      </c>
      <c r="BC65">
        <v>5</v>
      </c>
      <c r="BD65">
        <v>81</v>
      </c>
      <c r="BE65">
        <v>111</v>
      </c>
      <c r="BF65">
        <v>130</v>
      </c>
      <c r="BG65">
        <v>145</v>
      </c>
      <c r="BH65">
        <v>104.089792742695</v>
      </c>
      <c r="BI65">
        <v>700</v>
      </c>
      <c r="BJ65">
        <v>49</v>
      </c>
      <c r="BK65">
        <v>1724</v>
      </c>
      <c r="BL65">
        <v>57.983593498366197</v>
      </c>
      <c r="BM65">
        <v>23.7749084554811</v>
      </c>
      <c r="BN65">
        <v>50.2808020867881</v>
      </c>
      <c r="BO65">
        <v>1.2538176514705099</v>
      </c>
      <c r="BP65">
        <v>0.232227488151658</v>
      </c>
      <c r="BQ65" t="s">
        <v>194</v>
      </c>
      <c r="BR65" s="2">
        <v>1977575247</v>
      </c>
      <c r="BS65">
        <v>133.14173204299601</v>
      </c>
      <c r="BT65">
        <v>22513.597187290601</v>
      </c>
      <c r="BU65">
        <v>236269.38989639201</v>
      </c>
      <c r="BV65">
        <v>0.47402487182617098</v>
      </c>
      <c r="BW65">
        <v>177.70768737792901</v>
      </c>
      <c r="BX65">
        <v>1.0185457153320301</v>
      </c>
      <c r="BY65">
        <v>159.49403381347599</v>
      </c>
      <c r="BZ65">
        <v>147.90350341796801</v>
      </c>
      <c r="CA65" t="s">
        <v>1331</v>
      </c>
      <c r="CB65" t="s">
        <v>1332</v>
      </c>
      <c r="CC65" t="s">
        <v>1333</v>
      </c>
      <c r="CD65" t="s">
        <v>1334</v>
      </c>
      <c r="CE65" t="s">
        <v>1335</v>
      </c>
      <c r="CF65" t="s">
        <v>1336</v>
      </c>
      <c r="CG65" t="s">
        <v>1337</v>
      </c>
      <c r="CH65">
        <v>108.85163904301599</v>
      </c>
      <c r="CI65">
        <v>108.434420152572</v>
      </c>
      <c r="CJ65">
        <v>-4.0713415657020402</v>
      </c>
      <c r="CK65">
        <v>22.169615901836799</v>
      </c>
      <c r="CL65">
        <v>112</v>
      </c>
      <c r="CM65">
        <v>1</v>
      </c>
      <c r="CN65">
        <v>101</v>
      </c>
      <c r="CO65">
        <v>109</v>
      </c>
      <c r="CP65">
        <v>112</v>
      </c>
      <c r="CQ65">
        <v>114</v>
      </c>
      <c r="CR65">
        <v>115</v>
      </c>
      <c r="CS65">
        <v>10.413184918773499</v>
      </c>
      <c r="CT65">
        <v>171</v>
      </c>
      <c r="CU65">
        <v>113</v>
      </c>
      <c r="CV65">
        <v>5</v>
      </c>
      <c r="CW65">
        <v>170</v>
      </c>
      <c r="CX65">
        <v>5.8007715234614796</v>
      </c>
      <c r="CY65">
        <v>2.4461113124934499</v>
      </c>
      <c r="CZ65">
        <v>5.0293925187568904</v>
      </c>
      <c r="DA65">
        <v>9.5664015813839598E-2</v>
      </c>
      <c r="DB65">
        <v>2.2421524663677101E-2</v>
      </c>
      <c r="DC65">
        <v>1.3086726153813899</v>
      </c>
      <c r="DD65">
        <v>4.3473163280451601</v>
      </c>
      <c r="DE65">
        <v>1088.5163904301701</v>
      </c>
      <c r="DF65">
        <v>7.8238807188122705E-2</v>
      </c>
      <c r="DG65" s="2">
        <v>8.3744984014851097E-4</v>
      </c>
      <c r="DH65">
        <v>3099</v>
      </c>
      <c r="DI65">
        <v>111</v>
      </c>
      <c r="DJ65">
        <v>-4217.5</v>
      </c>
      <c r="DK65">
        <v>115</v>
      </c>
      <c r="DL65">
        <v>0.47402487182617098</v>
      </c>
      <c r="DM65">
        <v>177.70768737792901</v>
      </c>
      <c r="DN65">
        <v>1.0185457153320301</v>
      </c>
      <c r="DO65">
        <v>159.49403381347599</v>
      </c>
      <c r="DP65">
        <v>147.90350341796801</v>
      </c>
      <c r="DQ65" t="s">
        <v>1338</v>
      </c>
      <c r="DR65" t="s">
        <v>1339</v>
      </c>
      <c r="DS65" t="s">
        <v>1340</v>
      </c>
      <c r="DT65" t="s">
        <v>1341</v>
      </c>
      <c r="DU65" t="s">
        <v>1335</v>
      </c>
      <c r="DV65" t="s">
        <v>1336</v>
      </c>
      <c r="DW65" t="s">
        <v>1342</v>
      </c>
      <c r="DX65">
        <v>3.7103790828453401E-2</v>
      </c>
      <c r="DY65">
        <v>109.853038654689</v>
      </c>
      <c r="DZ65">
        <v>75.240316389582702</v>
      </c>
      <c r="EA65">
        <v>7.8477102506388396</v>
      </c>
      <c r="EB65">
        <v>2.3623961827219699</v>
      </c>
      <c r="EC65">
        <v>3.9525420330057202</v>
      </c>
      <c r="ED65">
        <v>56.983714856593799</v>
      </c>
      <c r="EE65">
        <v>7.8477102506377703</v>
      </c>
      <c r="EF65">
        <v>219.706077309379</v>
      </c>
      <c r="EG65">
        <v>228.35496217905899</v>
      </c>
      <c r="EH65">
        <v>7.8477102506388796</v>
      </c>
      <c r="EI65">
        <v>1.23397776926105E-2</v>
      </c>
      <c r="EJ65">
        <v>72.606303379271694</v>
      </c>
      <c r="EK65">
        <v>3.9525420330057202</v>
      </c>
      <c r="EL65">
        <v>0.44404830140958301</v>
      </c>
      <c r="EM65">
        <v>0.97895116497060297</v>
      </c>
      <c r="EN65">
        <v>0.38260241549840901</v>
      </c>
      <c r="EO65">
        <v>0.99765148664741798</v>
      </c>
      <c r="EP65">
        <v>6.6369814390114697E-3</v>
      </c>
      <c r="EQ65">
        <v>0.517504000093996</v>
      </c>
      <c r="ER65">
        <v>12106.6272663686</v>
      </c>
      <c r="ES65">
        <v>228.35496217905899</v>
      </c>
      <c r="ET65">
        <v>-14586.861959530401</v>
      </c>
      <c r="EU65">
        <v>1572462.9498364101</v>
      </c>
      <c r="EV65">
        <v>0.88308555326583205</v>
      </c>
      <c r="EW65">
        <v>1.74803743240767</v>
      </c>
      <c r="EX65" s="2">
        <v>1.30066596754111E-4</v>
      </c>
      <c r="EY65">
        <v>11836.4735315374</v>
      </c>
      <c r="EZ65" s="2">
        <v>1.18526644669837E-4</v>
      </c>
      <c r="FA65">
        <v>10369.553214682601</v>
      </c>
      <c r="FB65" s="2">
        <v>1.9849419981687199E-4</v>
      </c>
      <c r="FC65">
        <v>21243.215588431602</v>
      </c>
      <c r="FD65">
        <v>6617.2672058338903</v>
      </c>
      <c r="FE65">
        <v>70092.516404740105</v>
      </c>
      <c r="FF65">
        <v>0.83919926468712303</v>
      </c>
      <c r="FG65" s="2">
        <v>6.3272615595125195E-5</v>
      </c>
      <c r="FH65">
        <v>3.03922158386206E-2</v>
      </c>
      <c r="FI65">
        <v>0.53476456474442502</v>
      </c>
      <c r="FJ65">
        <v>36503.8555206319</v>
      </c>
      <c r="FK65">
        <v>2.5885110328117702</v>
      </c>
      <c r="FL65">
        <v>0.746039442828896</v>
      </c>
      <c r="FM65">
        <v>18550.817130008101</v>
      </c>
      <c r="FN65" s="2">
        <v>1.91934015774857E-4</v>
      </c>
      <c r="FO65">
        <v>10180.809321340899</v>
      </c>
      <c r="FP65" s="2">
        <v>1.3007540619719299E-4</v>
      </c>
      <c r="FQ65">
        <v>7250.9938324900604</v>
      </c>
      <c r="FR65">
        <v>1.4633807255406901</v>
      </c>
      <c r="FS65" s="2">
        <v>235335399.28871599</v>
      </c>
      <c r="FT65">
        <v>668.24636140637699</v>
      </c>
      <c r="FU65">
        <v>2.73199657157145E-2</v>
      </c>
      <c r="FV65">
        <v>12623.3318070318</v>
      </c>
      <c r="FW65">
        <v>0.51608061353360102</v>
      </c>
      <c r="FX65">
        <v>0.21925617834509001</v>
      </c>
      <c r="FY65">
        <v>303.74883323783899</v>
      </c>
      <c r="FZ65">
        <v>18530.015550174801</v>
      </c>
      <c r="GA65">
        <v>7.2471411633776599</v>
      </c>
    </row>
    <row r="66" spans="1:183" x14ac:dyDescent="0.2">
      <c r="A66" t="s">
        <v>2504</v>
      </c>
      <c r="B66" t="s">
        <v>182</v>
      </c>
      <c r="C66" t="s">
        <v>1343</v>
      </c>
      <c r="D66" s="1">
        <v>43467</v>
      </c>
      <c r="E66" t="s">
        <v>362</v>
      </c>
      <c r="F66" t="s">
        <v>185</v>
      </c>
      <c r="G66" t="s">
        <v>186</v>
      </c>
      <c r="H66">
        <v>1</v>
      </c>
      <c r="I66">
        <v>400</v>
      </c>
      <c r="J66">
        <v>10</v>
      </c>
      <c r="K66" t="s">
        <v>187</v>
      </c>
      <c r="L66" t="s">
        <v>1344</v>
      </c>
      <c r="M66">
        <v>2</v>
      </c>
      <c r="N66">
        <v>0.970703125</v>
      </c>
      <c r="O66">
        <v>0.970703125</v>
      </c>
      <c r="P66" t="s">
        <v>1345</v>
      </c>
      <c r="Q66">
        <v>0</v>
      </c>
      <c r="R66" t="s">
        <v>194</v>
      </c>
      <c r="T66">
        <v>7231.1737756729099</v>
      </c>
      <c r="U66">
        <v>7319.5110778808503</v>
      </c>
      <c r="V66">
        <v>3884</v>
      </c>
      <c r="W66">
        <v>2573.6533120775798</v>
      </c>
      <c r="X66">
        <v>0.355910864808125</v>
      </c>
      <c r="Y66">
        <v>18.0557805595083</v>
      </c>
      <c r="Z66">
        <v>3.1247033695845899E-2</v>
      </c>
      <c r="AA66">
        <v>0.346912411292917</v>
      </c>
      <c r="AB66">
        <v>1.423180728016</v>
      </c>
      <c r="AC66">
        <v>0.70265144848754202</v>
      </c>
      <c r="AD66">
        <v>0.42318072801600298</v>
      </c>
      <c r="AE66" t="s">
        <v>1346</v>
      </c>
      <c r="AF66" t="s">
        <v>1347</v>
      </c>
      <c r="AG66" t="s">
        <v>1348</v>
      </c>
      <c r="AH66" t="s">
        <v>193</v>
      </c>
      <c r="AI66" t="s">
        <v>193</v>
      </c>
      <c r="AJ66" t="s">
        <v>193</v>
      </c>
      <c r="AK66" t="s">
        <v>193</v>
      </c>
      <c r="AL66" t="s">
        <v>193</v>
      </c>
      <c r="AM66" t="s">
        <v>193</v>
      </c>
      <c r="AN66" t="s">
        <v>193</v>
      </c>
      <c r="AO66" t="s">
        <v>193</v>
      </c>
      <c r="AP66" t="s">
        <v>193</v>
      </c>
      <c r="AQ66">
        <v>0.106637589545137</v>
      </c>
      <c r="AR66" t="s">
        <v>193</v>
      </c>
      <c r="AS66" t="s">
        <v>193</v>
      </c>
      <c r="AT66">
        <v>31.313341399745301</v>
      </c>
      <c r="AU66" t="s">
        <v>193</v>
      </c>
      <c r="AV66">
        <v>5378027.24391344</v>
      </c>
      <c r="AW66">
        <v>-26.2718846549948</v>
      </c>
      <c r="AX66">
        <v>20620.577469053602</v>
      </c>
      <c r="AY66">
        <v>-2.6219497544824999</v>
      </c>
      <c r="AZ66">
        <v>6.7689342894523099</v>
      </c>
      <c r="BA66">
        <v>26</v>
      </c>
      <c r="BB66">
        <v>-770</v>
      </c>
      <c r="BC66">
        <v>-210</v>
      </c>
      <c r="BD66">
        <v>-4</v>
      </c>
      <c r="BE66">
        <v>26</v>
      </c>
      <c r="BF66">
        <v>42</v>
      </c>
      <c r="BG66">
        <v>58</v>
      </c>
      <c r="BH66">
        <v>143.59866806155799</v>
      </c>
      <c r="BI66">
        <v>141</v>
      </c>
      <c r="BJ66">
        <v>46</v>
      </c>
      <c r="BK66">
        <v>911</v>
      </c>
      <c r="BL66">
        <v>94.228397471048893</v>
      </c>
      <c r="BM66">
        <v>35.873427988613301</v>
      </c>
      <c r="BN66">
        <v>72.486611740473705</v>
      </c>
      <c r="BO66">
        <v>-5.4658685491091097</v>
      </c>
      <c r="BP66">
        <v>1.2105263157894699</v>
      </c>
      <c r="BQ66" t="s">
        <v>194</v>
      </c>
      <c r="BR66" s="2">
        <v>82771106</v>
      </c>
      <c r="BS66">
        <v>145.982154362713</v>
      </c>
      <c r="BT66">
        <v>-192.297350769042</v>
      </c>
      <c r="BU66">
        <v>446.00522359212198</v>
      </c>
      <c r="BV66">
        <v>0.50693832397460903</v>
      </c>
      <c r="BW66">
        <v>44.234199523925703</v>
      </c>
      <c r="BX66">
        <v>1.0534517822265601</v>
      </c>
      <c r="BY66">
        <v>37.960643768310497</v>
      </c>
      <c r="BZ66">
        <v>-12.3399209976196</v>
      </c>
      <c r="CA66" t="s">
        <v>1349</v>
      </c>
      <c r="CB66" t="s">
        <v>1350</v>
      </c>
      <c r="CC66" t="s">
        <v>1351</v>
      </c>
      <c r="CD66" t="s">
        <v>1352</v>
      </c>
      <c r="CE66" t="s">
        <v>1353</v>
      </c>
      <c r="CF66" t="s">
        <v>1354</v>
      </c>
      <c r="CG66" t="s">
        <v>1355</v>
      </c>
      <c r="CH66">
        <v>97.934603501544899</v>
      </c>
      <c r="CI66">
        <v>206.27790661415801</v>
      </c>
      <c r="CJ66">
        <v>-2.61775927857743</v>
      </c>
      <c r="CK66">
        <v>6.7436031562168504</v>
      </c>
      <c r="CL66">
        <v>103</v>
      </c>
      <c r="CM66">
        <v>24</v>
      </c>
      <c r="CN66">
        <v>80</v>
      </c>
      <c r="CO66">
        <v>100</v>
      </c>
      <c r="CP66">
        <v>103</v>
      </c>
      <c r="CQ66">
        <v>105</v>
      </c>
      <c r="CR66">
        <v>106</v>
      </c>
      <c r="CS66">
        <v>14.3623781670779</v>
      </c>
      <c r="CT66">
        <v>115</v>
      </c>
      <c r="CU66">
        <v>104</v>
      </c>
      <c r="CV66">
        <v>5</v>
      </c>
      <c r="CW66">
        <v>91</v>
      </c>
      <c r="CX66">
        <v>9.4218656698213596</v>
      </c>
      <c r="CY66">
        <v>3.5862757096292501</v>
      </c>
      <c r="CZ66">
        <v>7.2435633367662202</v>
      </c>
      <c r="DA66">
        <v>0.14665274227460701</v>
      </c>
      <c r="DB66">
        <v>2.4390243902439001E-2</v>
      </c>
      <c r="DC66">
        <v>1.34733167099486</v>
      </c>
      <c r="DD66">
        <v>4.4757389310093698</v>
      </c>
      <c r="DE66">
        <v>979.346035015442</v>
      </c>
      <c r="DF66">
        <v>8.4199112045403104E-2</v>
      </c>
      <c r="DG66">
        <v>4.6560125808229299E-3</v>
      </c>
      <c r="DH66">
        <v>211.5</v>
      </c>
      <c r="DI66">
        <v>102</v>
      </c>
      <c r="DJ66">
        <v>-145</v>
      </c>
      <c r="DK66">
        <v>105</v>
      </c>
      <c r="DL66">
        <v>0.50693832397460903</v>
      </c>
      <c r="DM66">
        <v>44.234199523925703</v>
      </c>
      <c r="DN66">
        <v>1.0534517822265601</v>
      </c>
      <c r="DO66">
        <v>37.960643768310497</v>
      </c>
      <c r="DP66">
        <v>-12.3399209976196</v>
      </c>
      <c r="DQ66" t="s">
        <v>1356</v>
      </c>
      <c r="DR66" t="s">
        <v>1357</v>
      </c>
      <c r="DS66" t="s">
        <v>1358</v>
      </c>
      <c r="DT66" t="s">
        <v>1359</v>
      </c>
      <c r="DU66" t="s">
        <v>1353</v>
      </c>
      <c r="DV66" t="s">
        <v>1354</v>
      </c>
      <c r="DW66" t="s">
        <v>1360</v>
      </c>
      <c r="DX66">
        <v>4.1357142857142801E-2</v>
      </c>
      <c r="DY66">
        <v>100.324511904761</v>
      </c>
      <c r="DZ66">
        <v>121.90015630938299</v>
      </c>
      <c r="EA66">
        <v>7.7812200079242499</v>
      </c>
      <c r="EB66">
        <v>2.34238062524593</v>
      </c>
      <c r="EC66">
        <v>5.1861190476190497</v>
      </c>
      <c r="ED66">
        <v>81.306526366780204</v>
      </c>
      <c r="EE66">
        <v>7.7812200079246301</v>
      </c>
      <c r="EF66">
        <v>200.64902380952299</v>
      </c>
      <c r="EG66">
        <v>320.69963563150702</v>
      </c>
      <c r="EH66">
        <v>1.6029543671420901</v>
      </c>
      <c r="EI66">
        <v>1.5497547335600799E-2</v>
      </c>
      <c r="EJ66">
        <v>108.202357142857</v>
      </c>
      <c r="EK66">
        <v>5.1861190476190497</v>
      </c>
      <c r="EL66">
        <v>0.41445811931751397</v>
      </c>
      <c r="EM66">
        <v>0.95313671741498396</v>
      </c>
      <c r="EN66">
        <v>0.35337009297524102</v>
      </c>
      <c r="EO66">
        <v>0.98887688439825105</v>
      </c>
      <c r="EP66" s="2">
        <v>3.6200809112861101E-5</v>
      </c>
      <c r="EQ66">
        <v>0.55618450205986103</v>
      </c>
      <c r="ER66">
        <v>10132.8066666666</v>
      </c>
      <c r="ES66">
        <v>320.69963563150702</v>
      </c>
      <c r="ET66">
        <v>-24342.802179297301</v>
      </c>
      <c r="EU66">
        <v>2252197.51780834</v>
      </c>
      <c r="EV66">
        <v>0.90225863433076603</v>
      </c>
      <c r="EW66">
        <v>1.5684992702706899</v>
      </c>
      <c r="EX66" s="2">
        <v>1.26871191296701E-4</v>
      </c>
      <c r="EY66">
        <v>9643.7772110763508</v>
      </c>
      <c r="EZ66" s="2">
        <v>1.17730213255567E-4</v>
      </c>
      <c r="FA66">
        <v>8591.2158903934396</v>
      </c>
      <c r="FB66" s="2">
        <v>1.8000607330336899E-4</v>
      </c>
      <c r="FC66">
        <v>15758.480339060599</v>
      </c>
      <c r="FD66">
        <v>245.85285005834101</v>
      </c>
      <c r="FE66">
        <v>2606.7818861987398</v>
      </c>
      <c r="FF66">
        <v>0.86348332409094497</v>
      </c>
      <c r="FG66">
        <v>1.6191453610864799E-3</v>
      </c>
      <c r="FH66">
        <v>0.22518702226096299</v>
      </c>
      <c r="FI66">
        <v>4.3213744876522298E-2</v>
      </c>
      <c r="FJ66">
        <v>16289.5224583654</v>
      </c>
      <c r="FK66">
        <v>17.691412604160899</v>
      </c>
      <c r="FL66">
        <v>0.847530440244046</v>
      </c>
      <c r="FM66">
        <v>752.84367245657495</v>
      </c>
      <c r="FN66" s="2">
        <v>1.83905261572608E-4</v>
      </c>
      <c r="FO66">
        <v>7712.8875103391201</v>
      </c>
      <c r="FP66" s="2">
        <v>1.6684767764793199E-4</v>
      </c>
      <c r="FQ66">
        <v>6191.5920767464604</v>
      </c>
      <c r="FR66">
        <v>7.0140067764246E-2</v>
      </c>
      <c r="FS66">
        <v>8092348.23159636</v>
      </c>
      <c r="FT66">
        <v>25.173697270471401</v>
      </c>
      <c r="FU66">
        <v>2.0821916683599201E-2</v>
      </c>
      <c r="FV66">
        <v>822.96029776674902</v>
      </c>
      <c r="FW66">
        <v>0.68069503537365506</v>
      </c>
      <c r="FX66">
        <v>0.31127703398558099</v>
      </c>
      <c r="FY66">
        <v>397.04959426851701</v>
      </c>
      <c r="FZ66">
        <v>742.52305119926905</v>
      </c>
      <c r="GA66">
        <v>6.7661848903895399</v>
      </c>
    </row>
    <row r="67" spans="1:183" x14ac:dyDescent="0.2">
      <c r="A67" t="s">
        <v>2505</v>
      </c>
      <c r="B67" t="s">
        <v>182</v>
      </c>
      <c r="C67" t="s">
        <v>1361</v>
      </c>
      <c r="D67" s="1">
        <v>42899</v>
      </c>
      <c r="E67" t="s">
        <v>362</v>
      </c>
      <c r="F67" t="s">
        <v>185</v>
      </c>
      <c r="G67" t="s">
        <v>186</v>
      </c>
      <c r="H67">
        <v>1</v>
      </c>
      <c r="I67">
        <v>400</v>
      </c>
      <c r="J67">
        <v>10</v>
      </c>
      <c r="K67" t="s">
        <v>187</v>
      </c>
      <c r="L67" t="s">
        <v>1362</v>
      </c>
      <c r="M67">
        <v>5</v>
      </c>
      <c r="N67">
        <v>0.66015625</v>
      </c>
      <c r="O67">
        <v>0.66015625</v>
      </c>
      <c r="P67" t="s">
        <v>1363</v>
      </c>
      <c r="Q67">
        <v>0</v>
      </c>
      <c r="R67">
        <v>83</v>
      </c>
      <c r="T67">
        <v>4246.2058003743396</v>
      </c>
      <c r="U67">
        <v>4351.5256500244104</v>
      </c>
      <c r="V67">
        <v>1997</v>
      </c>
      <c r="W67">
        <v>2394.7721556021802</v>
      </c>
      <c r="X67">
        <v>0.56397929544325398</v>
      </c>
      <c r="Y67">
        <v>27.599121640985999</v>
      </c>
      <c r="Z67">
        <v>2.0442302145946001E-2</v>
      </c>
      <c r="AA67">
        <v>0.14847791224040899</v>
      </c>
      <c r="AB67">
        <v>1.8884814181408001</v>
      </c>
      <c r="AC67">
        <v>0.529525993951528</v>
      </c>
      <c r="AD67">
        <v>0.88848141814080095</v>
      </c>
      <c r="AE67" t="s">
        <v>1364</v>
      </c>
      <c r="AF67" t="s">
        <v>1365</v>
      </c>
      <c r="AG67" t="s">
        <v>1366</v>
      </c>
      <c r="AH67" t="s">
        <v>193</v>
      </c>
      <c r="AI67" t="s">
        <v>193</v>
      </c>
      <c r="AJ67" t="s">
        <v>193</v>
      </c>
      <c r="AK67" t="s">
        <v>193</v>
      </c>
      <c r="AL67" t="s">
        <v>193</v>
      </c>
      <c r="AM67" t="s">
        <v>193</v>
      </c>
      <c r="AN67" t="s">
        <v>193</v>
      </c>
      <c r="AO67" t="s">
        <v>193</v>
      </c>
      <c r="AP67" t="s">
        <v>193</v>
      </c>
      <c r="AQ67">
        <v>1.9643253410146599</v>
      </c>
      <c r="AR67" t="s">
        <v>193</v>
      </c>
      <c r="AS67" t="s">
        <v>193</v>
      </c>
      <c r="AT67">
        <v>59.296585247151</v>
      </c>
      <c r="AU67" t="s">
        <v>193</v>
      </c>
      <c r="AV67">
        <v>295059.20896371902</v>
      </c>
      <c r="AW67">
        <v>69.487731597396007</v>
      </c>
      <c r="AX67">
        <v>468.51124157442899</v>
      </c>
      <c r="AY67">
        <v>-0.13500076177331299</v>
      </c>
      <c r="AZ67">
        <v>-0.27660244214086499</v>
      </c>
      <c r="BA67">
        <v>71</v>
      </c>
      <c r="BB67">
        <v>1</v>
      </c>
      <c r="BC67">
        <v>38</v>
      </c>
      <c r="BD67">
        <v>55</v>
      </c>
      <c r="BE67">
        <v>71</v>
      </c>
      <c r="BF67">
        <v>85</v>
      </c>
      <c r="BG67">
        <v>96</v>
      </c>
      <c r="BH67">
        <v>21.645120502654301</v>
      </c>
      <c r="BI67">
        <v>143</v>
      </c>
      <c r="BJ67">
        <v>30</v>
      </c>
      <c r="BK67">
        <v>142</v>
      </c>
      <c r="BL67">
        <v>17.455992200619502</v>
      </c>
      <c r="BM67">
        <v>12.675634962474501</v>
      </c>
      <c r="BN67">
        <v>17.4191286930395</v>
      </c>
      <c r="BO67">
        <v>0.31149556914684901</v>
      </c>
      <c r="BP67">
        <v>0.214285714285714</v>
      </c>
      <c r="BQ67">
        <v>704.15623435150803</v>
      </c>
      <c r="BR67" s="2">
        <v>10578221</v>
      </c>
      <c r="BS67">
        <v>72.780877187116801</v>
      </c>
      <c r="BT67">
        <v>302.37764640808001</v>
      </c>
      <c r="BU67">
        <v>1450.50855000813</v>
      </c>
      <c r="BV67" t="s">
        <v>194</v>
      </c>
      <c r="BW67" t="s">
        <v>194</v>
      </c>
      <c r="BX67" t="s">
        <v>194</v>
      </c>
      <c r="BY67" t="s">
        <v>194</v>
      </c>
      <c r="BZ67" t="s">
        <v>194</v>
      </c>
      <c r="CA67" t="s">
        <v>1367</v>
      </c>
      <c r="CB67" t="s">
        <v>1368</v>
      </c>
      <c r="CC67" t="s">
        <v>1369</v>
      </c>
      <c r="CD67" t="s">
        <v>1370</v>
      </c>
      <c r="CE67" t="s">
        <v>1371</v>
      </c>
      <c r="CF67" t="s">
        <v>1372</v>
      </c>
      <c r="CG67" t="s">
        <v>1373</v>
      </c>
      <c r="CH67">
        <v>107.492739108663</v>
      </c>
      <c r="CI67">
        <v>4.77573596248165</v>
      </c>
      <c r="CJ67">
        <v>-0.114714733854169</v>
      </c>
      <c r="CK67">
        <v>-0.22379793943732099</v>
      </c>
      <c r="CL67">
        <v>108</v>
      </c>
      <c r="CM67">
        <v>101</v>
      </c>
      <c r="CN67">
        <v>104</v>
      </c>
      <c r="CO67">
        <v>106</v>
      </c>
      <c r="CP67">
        <v>108</v>
      </c>
      <c r="CQ67">
        <v>109</v>
      </c>
      <c r="CR67">
        <v>110</v>
      </c>
      <c r="CS67">
        <v>2.1853457306526201</v>
      </c>
      <c r="CT67">
        <v>115</v>
      </c>
      <c r="CU67">
        <v>108</v>
      </c>
      <c r="CV67">
        <v>3</v>
      </c>
      <c r="CW67">
        <v>14</v>
      </c>
      <c r="CX67">
        <v>1.77223872864879</v>
      </c>
      <c r="CY67">
        <v>1.48324595052474</v>
      </c>
      <c r="CZ67">
        <v>1.7491236855282899</v>
      </c>
      <c r="DA67">
        <v>2.03301706587222E-2</v>
      </c>
      <c r="DB67">
        <v>1.3953488372093001E-2</v>
      </c>
      <c r="DC67">
        <v>0.94837492347650798</v>
      </c>
      <c r="DD67">
        <v>3.1504333027832598</v>
      </c>
      <c r="DE67">
        <v>1074.92739108663</v>
      </c>
      <c r="DF67">
        <v>0.129273278972038</v>
      </c>
      <c r="DG67">
        <v>8.0457280650145895E-3</v>
      </c>
      <c r="DH67">
        <v>88</v>
      </c>
      <c r="DI67">
        <v>106</v>
      </c>
      <c r="DJ67">
        <v>-104.5</v>
      </c>
      <c r="DK67">
        <v>110</v>
      </c>
      <c r="DL67" t="s">
        <v>194</v>
      </c>
      <c r="DM67" t="s">
        <v>194</v>
      </c>
      <c r="DN67" t="s">
        <v>194</v>
      </c>
      <c r="DO67" t="s">
        <v>194</v>
      </c>
      <c r="DP67" t="s">
        <v>194</v>
      </c>
      <c r="DQ67" t="s">
        <v>1374</v>
      </c>
      <c r="DR67" t="s">
        <v>1375</v>
      </c>
      <c r="DS67" t="s">
        <v>1376</v>
      </c>
      <c r="DT67" t="s">
        <v>1377</v>
      </c>
      <c r="DU67" t="s">
        <v>1371</v>
      </c>
      <c r="DV67" t="s">
        <v>1372</v>
      </c>
      <c r="DW67" t="s">
        <v>1378</v>
      </c>
      <c r="DX67">
        <v>6.81284259984338E-2</v>
      </c>
      <c r="DY67">
        <v>107.467762986165</v>
      </c>
      <c r="DZ67">
        <v>4.6590364731901399</v>
      </c>
      <c r="EA67">
        <v>5.4879599107060999</v>
      </c>
      <c r="EB67">
        <v>1.65204054812396</v>
      </c>
      <c r="EC67">
        <v>0.97807361002349102</v>
      </c>
      <c r="ED67">
        <v>0.87526969022238899</v>
      </c>
      <c r="EE67">
        <v>5.4879599107060999</v>
      </c>
      <c r="EF67">
        <v>214.93552597233</v>
      </c>
      <c r="EG67">
        <v>0</v>
      </c>
      <c r="EH67">
        <v>0</v>
      </c>
      <c r="EI67">
        <v>3.1181308414144099E-2</v>
      </c>
      <c r="EJ67">
        <v>1.8318976768467701</v>
      </c>
      <c r="EK67">
        <v>0.97807361002349102</v>
      </c>
      <c r="EL67">
        <v>0.62264390747162801</v>
      </c>
      <c r="EM67">
        <v>0.941829370571027</v>
      </c>
      <c r="EN67">
        <v>0.59160418216293598</v>
      </c>
      <c r="EO67">
        <v>0.99211636711274898</v>
      </c>
      <c r="EP67">
        <v>0</v>
      </c>
      <c r="EQ67">
        <v>0.80340380598132199</v>
      </c>
      <c r="ER67">
        <v>11553.063168885299</v>
      </c>
      <c r="ES67">
        <v>0</v>
      </c>
      <c r="ET67">
        <v>-12.246939524311699</v>
      </c>
      <c r="EU67">
        <v>735.66778989310706</v>
      </c>
      <c r="EV67">
        <v>0.746628047634181</v>
      </c>
      <c r="EW67">
        <v>2.9532675987916899</v>
      </c>
      <c r="EX67" s="2">
        <v>8.6589178316885801E-5</v>
      </c>
      <c r="EY67">
        <v>11569.3111072674</v>
      </c>
      <c r="EZ67" s="2">
        <v>6.4629467501179107E-5</v>
      </c>
      <c r="FA67">
        <v>8641.6338590743999</v>
      </c>
      <c r="FB67" s="2">
        <v>2.5630484012042701E-4</v>
      </c>
      <c r="FC67">
        <v>34079.965360671296</v>
      </c>
      <c r="FD67">
        <v>169.61560534888599</v>
      </c>
      <c r="FE67">
        <v>711.73517703336699</v>
      </c>
      <c r="FF67">
        <v>0.68039559339008504</v>
      </c>
      <c r="FG67">
        <v>6.31550239998917E-3</v>
      </c>
      <c r="FH67">
        <v>3.06057184642833E-2</v>
      </c>
      <c r="FI67">
        <v>9.1308698152756398E-2</v>
      </c>
      <c r="FJ67">
        <v>63.3549481139355</v>
      </c>
      <c r="FK67">
        <v>0.52909635036965597</v>
      </c>
      <c r="FL67">
        <v>0.48330752309881098</v>
      </c>
      <c r="FM67">
        <v>83.563926940639206</v>
      </c>
      <c r="FN67" s="2">
        <v>8.6341697167151204E-5</v>
      </c>
      <c r="FO67">
        <v>11608.602739726</v>
      </c>
      <c r="FP67" s="2">
        <v>4.1750505775179603E-5</v>
      </c>
      <c r="FQ67">
        <v>5609.7426482676901</v>
      </c>
      <c r="FR67">
        <v>7.3071592034285896E-3</v>
      </c>
      <c r="FS67">
        <v>956876.68721461098</v>
      </c>
      <c r="FT67">
        <v>47.611872146118699</v>
      </c>
      <c r="FU67">
        <v>0.108702904443193</v>
      </c>
      <c r="FV67">
        <v>99.452054794520507</v>
      </c>
      <c r="FW67">
        <v>0.22705948583223801</v>
      </c>
      <c r="FX67">
        <v>0.21932899349023499</v>
      </c>
      <c r="FY67">
        <v>6.65697128917245</v>
      </c>
      <c r="FZ67">
        <v>62.776156668960098</v>
      </c>
      <c r="GA67">
        <v>6.0485846214553698</v>
      </c>
    </row>
    <row r="68" spans="1:183" x14ac:dyDescent="0.2">
      <c r="A68" t="s">
        <v>2505</v>
      </c>
      <c r="B68" t="s">
        <v>182</v>
      </c>
      <c r="C68" t="s">
        <v>1379</v>
      </c>
      <c r="D68" s="1">
        <v>42899</v>
      </c>
      <c r="E68" t="s">
        <v>362</v>
      </c>
      <c r="F68" t="s">
        <v>185</v>
      </c>
      <c r="G68" t="s">
        <v>186</v>
      </c>
      <c r="H68">
        <v>1</v>
      </c>
      <c r="I68">
        <v>400</v>
      </c>
      <c r="J68">
        <v>10</v>
      </c>
      <c r="K68" t="s">
        <v>187</v>
      </c>
      <c r="L68" t="s">
        <v>1380</v>
      </c>
      <c r="M68">
        <v>5</v>
      </c>
      <c r="N68">
        <v>0.66015625</v>
      </c>
      <c r="O68">
        <v>0.66015625</v>
      </c>
      <c r="P68" t="s">
        <v>1381</v>
      </c>
      <c r="Q68">
        <v>0</v>
      </c>
      <c r="R68">
        <v>84</v>
      </c>
      <c r="T68">
        <v>7941.8430074055896</v>
      </c>
      <c r="U68">
        <v>8055.8789825439399</v>
      </c>
      <c r="V68">
        <v>3697</v>
      </c>
      <c r="W68">
        <v>3944.55353145155</v>
      </c>
      <c r="X68">
        <v>0.49667986735236902</v>
      </c>
      <c r="Y68">
        <v>31.194317171946299</v>
      </c>
      <c r="Z68">
        <v>1.8086293745039599E-2</v>
      </c>
      <c r="AA68">
        <v>0.116225495480949</v>
      </c>
      <c r="AB68">
        <v>2.0491143650706301</v>
      </c>
      <c r="AC68">
        <v>0.48801570915029402</v>
      </c>
      <c r="AD68">
        <v>1.0491143650706301</v>
      </c>
      <c r="AE68" t="s">
        <v>1382</v>
      </c>
      <c r="AF68" t="s">
        <v>1383</v>
      </c>
      <c r="AG68" t="s">
        <v>1384</v>
      </c>
      <c r="AH68" t="s">
        <v>193</v>
      </c>
      <c r="AI68" t="s">
        <v>193</v>
      </c>
      <c r="AJ68" t="s">
        <v>193</v>
      </c>
      <c r="AK68" t="s">
        <v>193</v>
      </c>
      <c r="AL68" t="s">
        <v>193</v>
      </c>
      <c r="AM68" t="s">
        <v>193</v>
      </c>
      <c r="AN68" t="s">
        <v>193</v>
      </c>
      <c r="AO68" t="s">
        <v>193</v>
      </c>
      <c r="AP68" t="s">
        <v>193</v>
      </c>
      <c r="AQ68">
        <v>2.31924042236423</v>
      </c>
      <c r="AR68" t="s">
        <v>193</v>
      </c>
      <c r="AS68" t="s">
        <v>193</v>
      </c>
      <c r="AT68">
        <v>58.120937574612398</v>
      </c>
      <c r="AU68" t="s">
        <v>193</v>
      </c>
      <c r="AV68">
        <v>499805.50756694999</v>
      </c>
      <c r="AW68">
        <v>62.9331890722206</v>
      </c>
      <c r="AX68">
        <v>871.69989118226601</v>
      </c>
      <c r="AY68">
        <v>-1.0420325771402901</v>
      </c>
      <c r="AZ68">
        <v>7.9427274140648798</v>
      </c>
      <c r="BA68">
        <v>61</v>
      </c>
      <c r="BB68">
        <v>-183</v>
      </c>
      <c r="BC68">
        <v>36</v>
      </c>
      <c r="BD68">
        <v>48</v>
      </c>
      <c r="BE68">
        <v>61</v>
      </c>
      <c r="BF68">
        <v>79</v>
      </c>
      <c r="BG68">
        <v>96</v>
      </c>
      <c r="BH68">
        <v>29.524564199701</v>
      </c>
      <c r="BI68">
        <v>165</v>
      </c>
      <c r="BJ68">
        <v>31</v>
      </c>
      <c r="BK68">
        <v>348</v>
      </c>
      <c r="BL68">
        <v>20.483052989692201</v>
      </c>
      <c r="BM68">
        <v>12.8255762766216</v>
      </c>
      <c r="BN68">
        <v>20.446037327562799</v>
      </c>
      <c r="BO68">
        <v>0.469141396375437</v>
      </c>
      <c r="BP68">
        <v>0.244094488188976</v>
      </c>
      <c r="BQ68" t="s">
        <v>194</v>
      </c>
      <c r="BR68" s="2">
        <v>17864962</v>
      </c>
      <c r="BS68">
        <v>69.514647219000807</v>
      </c>
      <c r="BT68">
        <v>506.98215515136599</v>
      </c>
      <c r="BU68">
        <v>2685.29299418131</v>
      </c>
      <c r="BV68" t="s">
        <v>194</v>
      </c>
      <c r="BW68" t="s">
        <v>194</v>
      </c>
      <c r="BX68" t="s">
        <v>194</v>
      </c>
      <c r="BY68" t="s">
        <v>194</v>
      </c>
      <c r="BZ68" t="s">
        <v>194</v>
      </c>
      <c r="CA68" t="s">
        <v>1385</v>
      </c>
      <c r="CB68" t="s">
        <v>1386</v>
      </c>
      <c r="CC68" t="s">
        <v>1387</v>
      </c>
      <c r="CD68" t="s">
        <v>1388</v>
      </c>
      <c r="CE68" t="s">
        <v>1389</v>
      </c>
      <c r="CF68" t="s">
        <v>1390</v>
      </c>
      <c r="CG68" t="s">
        <v>1391</v>
      </c>
      <c r="CH68">
        <v>106.837706248309</v>
      </c>
      <c r="CI68">
        <v>8.8267848928823405</v>
      </c>
      <c r="CJ68">
        <v>-1.0354484112295099</v>
      </c>
      <c r="CK68">
        <v>7.8403155118632499</v>
      </c>
      <c r="CL68">
        <v>107</v>
      </c>
      <c r="CM68">
        <v>82</v>
      </c>
      <c r="CN68">
        <v>104</v>
      </c>
      <c r="CO68">
        <v>105</v>
      </c>
      <c r="CP68">
        <v>107</v>
      </c>
      <c r="CQ68">
        <v>108</v>
      </c>
      <c r="CR68">
        <v>110</v>
      </c>
      <c r="CS68">
        <v>2.9709905575215698</v>
      </c>
      <c r="CT68">
        <v>117</v>
      </c>
      <c r="CU68">
        <v>106</v>
      </c>
      <c r="CV68">
        <v>3</v>
      </c>
      <c r="CW68">
        <v>35</v>
      </c>
      <c r="CX68">
        <v>2.06394675254823</v>
      </c>
      <c r="CY68">
        <v>1.38933628139071</v>
      </c>
      <c r="CZ68">
        <v>2.0530159588855801</v>
      </c>
      <c r="DA68">
        <v>2.78084457430831E-2</v>
      </c>
      <c r="DB68">
        <v>1.4084507042253501E-2</v>
      </c>
      <c r="DC68">
        <v>1.03367554901064</v>
      </c>
      <c r="DD68">
        <v>3.4337958472565799</v>
      </c>
      <c r="DE68">
        <v>1068.37706248308</v>
      </c>
      <c r="DF68">
        <v>0.12111780315338</v>
      </c>
      <c r="DG68">
        <v>5.7237316892450501E-3</v>
      </c>
      <c r="DH68">
        <v>241.5</v>
      </c>
      <c r="DI68">
        <v>105</v>
      </c>
      <c r="DJ68">
        <v>-133</v>
      </c>
      <c r="DK68">
        <v>107</v>
      </c>
      <c r="DL68" t="s">
        <v>194</v>
      </c>
      <c r="DM68" t="s">
        <v>194</v>
      </c>
      <c r="DN68" t="s">
        <v>194</v>
      </c>
      <c r="DO68" t="s">
        <v>194</v>
      </c>
      <c r="DP68" t="s">
        <v>194</v>
      </c>
      <c r="DQ68" t="s">
        <v>1392</v>
      </c>
      <c r="DR68" t="s">
        <v>1393</v>
      </c>
      <c r="DS68" t="s">
        <v>1394</v>
      </c>
      <c r="DT68" t="s">
        <v>1395</v>
      </c>
      <c r="DU68" t="s">
        <v>1389</v>
      </c>
      <c r="DV68" t="s">
        <v>1390</v>
      </c>
      <c r="DW68" t="s">
        <v>1396</v>
      </c>
      <c r="DX68">
        <v>7.6368676368676294E-2</v>
      </c>
      <c r="DY68">
        <v>106.902564102564</v>
      </c>
      <c r="DZ68">
        <v>8.1803191357037495</v>
      </c>
      <c r="EA68">
        <v>5.7669168858203799</v>
      </c>
      <c r="EB68">
        <v>1.7360149651330401</v>
      </c>
      <c r="EC68">
        <v>1.0024948024947999</v>
      </c>
      <c r="ED68">
        <v>1.2604234363901701</v>
      </c>
      <c r="EE68">
        <v>5.7669168858204403</v>
      </c>
      <c r="EF68">
        <v>213.805128205128</v>
      </c>
      <c r="EG68">
        <v>0</v>
      </c>
      <c r="EH68">
        <v>0</v>
      </c>
      <c r="EI68">
        <v>3.0776261628652501E-2</v>
      </c>
      <c r="EJ68">
        <v>2.26541926541926</v>
      </c>
      <c r="EK68">
        <v>1.0024948024947999</v>
      </c>
      <c r="EL68">
        <v>0.62441406398985599</v>
      </c>
      <c r="EM68">
        <v>0.97372586411700102</v>
      </c>
      <c r="EN68">
        <v>0.59486488818257</v>
      </c>
      <c r="EO68">
        <v>0.99829708672486295</v>
      </c>
      <c r="EP68">
        <v>0</v>
      </c>
      <c r="EQ68">
        <v>0.86153234196379602</v>
      </c>
      <c r="ER68">
        <v>11435.2058212058</v>
      </c>
      <c r="ES68">
        <v>0</v>
      </c>
      <c r="ET68">
        <v>-113.589161625892</v>
      </c>
      <c r="EU68">
        <v>8667.2578787378097</v>
      </c>
      <c r="EV68">
        <v>0.74252119497968805</v>
      </c>
      <c r="EW68">
        <v>3.02474104578382</v>
      </c>
      <c r="EX68" s="2">
        <v>8.7919413736039796E-5</v>
      </c>
      <c r="EY68">
        <v>11417.684522686201</v>
      </c>
      <c r="EZ68" s="2">
        <v>6.5358920074654601E-5</v>
      </c>
      <c r="FA68">
        <v>8472.7576930761898</v>
      </c>
      <c r="FB68" s="2">
        <v>2.6538363209914001E-4</v>
      </c>
      <c r="FC68">
        <v>34561.117412633401</v>
      </c>
      <c r="FD68">
        <v>281.24522679668598</v>
      </c>
      <c r="FE68">
        <v>1285.3868546225599</v>
      </c>
      <c r="FF68">
        <v>0.67243711117121996</v>
      </c>
      <c r="FG68">
        <v>3.8423124464308299E-3</v>
      </c>
      <c r="FH68">
        <v>1.10471824168223E-2</v>
      </c>
      <c r="FI68">
        <v>4.88134372454729E-2</v>
      </c>
      <c r="FJ68">
        <v>372.58958056126102</v>
      </c>
      <c r="FK68">
        <v>3.7231419814790199</v>
      </c>
      <c r="FL68">
        <v>0.48620201902204002</v>
      </c>
      <c r="FM68">
        <v>137.88320209973699</v>
      </c>
      <c r="FN68" s="2">
        <v>8.8671440612945698E-5</v>
      </c>
      <c r="FO68">
        <v>11353.8674540682</v>
      </c>
      <c r="FP68" s="2">
        <v>4.34988297056072E-5</v>
      </c>
      <c r="FQ68">
        <v>5484.1569996889102</v>
      </c>
      <c r="FR68">
        <v>1.21526168923394E-2</v>
      </c>
      <c r="FS68">
        <v>1565941.9330708601</v>
      </c>
      <c r="FT68">
        <v>68.041994750656102</v>
      </c>
      <c r="FU68">
        <v>8.9293956365690499E-2</v>
      </c>
      <c r="FV68">
        <v>173.658792650918</v>
      </c>
      <c r="FW68">
        <v>0.227898678019578</v>
      </c>
      <c r="FX68">
        <v>0.20611306464701101</v>
      </c>
      <c r="FY68">
        <v>17.766226810231402</v>
      </c>
      <c r="FZ68">
        <v>114.344150632745</v>
      </c>
      <c r="GA68">
        <v>6.5795771233074998</v>
      </c>
    </row>
    <row r="69" spans="1:183" x14ac:dyDescent="0.2">
      <c r="A69" t="s">
        <v>2505</v>
      </c>
      <c r="B69" t="s">
        <v>182</v>
      </c>
      <c r="C69" t="s">
        <v>1379</v>
      </c>
      <c r="D69" s="1">
        <v>42899</v>
      </c>
      <c r="E69" t="s">
        <v>362</v>
      </c>
      <c r="F69" t="s">
        <v>185</v>
      </c>
      <c r="G69" t="s">
        <v>186</v>
      </c>
      <c r="H69">
        <v>1</v>
      </c>
      <c r="I69">
        <v>400</v>
      </c>
      <c r="J69">
        <v>10</v>
      </c>
      <c r="K69" t="s">
        <v>187</v>
      </c>
      <c r="L69" t="s">
        <v>1397</v>
      </c>
      <c r="M69">
        <v>5</v>
      </c>
      <c r="N69">
        <v>0.66015625</v>
      </c>
      <c r="O69">
        <v>0.66015625</v>
      </c>
      <c r="P69" t="s">
        <v>1398</v>
      </c>
      <c r="Q69">
        <v>0</v>
      </c>
      <c r="R69">
        <v>85</v>
      </c>
      <c r="T69">
        <v>16306.0549290974</v>
      </c>
      <c r="U69">
        <v>16466.940078735301</v>
      </c>
      <c r="V69">
        <v>7557</v>
      </c>
      <c r="W69">
        <v>7620.3379210448202</v>
      </c>
      <c r="X69">
        <v>0.46733179510186901</v>
      </c>
      <c r="Y69">
        <v>40.795517312256599</v>
      </c>
      <c r="Z69">
        <v>1.38296955331964E-2</v>
      </c>
      <c r="AA69">
        <v>6.7955949387427397E-2</v>
      </c>
      <c r="AB69">
        <v>2.4505157900475898</v>
      </c>
      <c r="AC69">
        <v>0.40807735418859598</v>
      </c>
      <c r="AD69">
        <v>1.45051579004758</v>
      </c>
      <c r="AE69" t="s">
        <v>1399</v>
      </c>
      <c r="AF69" t="s">
        <v>1400</v>
      </c>
      <c r="AG69" t="s">
        <v>1401</v>
      </c>
      <c r="AH69" t="s">
        <v>193</v>
      </c>
      <c r="AI69" t="s">
        <v>193</v>
      </c>
      <c r="AJ69" t="s">
        <v>193</v>
      </c>
      <c r="AK69" t="s">
        <v>193</v>
      </c>
      <c r="AL69" t="s">
        <v>193</v>
      </c>
      <c r="AM69" t="s">
        <v>193</v>
      </c>
      <c r="AN69" t="s">
        <v>193</v>
      </c>
      <c r="AO69" t="s">
        <v>193</v>
      </c>
      <c r="AP69" t="s">
        <v>193</v>
      </c>
      <c r="AQ69">
        <v>5.4251048812867602</v>
      </c>
      <c r="AR69" t="s">
        <v>193</v>
      </c>
      <c r="AS69" t="s">
        <v>193</v>
      </c>
      <c r="AT69">
        <v>70.301499383599705</v>
      </c>
      <c r="AU69" t="s">
        <v>193</v>
      </c>
      <c r="AV69">
        <v>1079160.0470966301</v>
      </c>
      <c r="AW69">
        <v>66.181553526531701</v>
      </c>
      <c r="AX69">
        <v>2579.1799534949801</v>
      </c>
      <c r="AY69">
        <v>2.9660424271494099E-2</v>
      </c>
      <c r="AZ69">
        <v>9.4260034109429593</v>
      </c>
      <c r="BA69">
        <v>63</v>
      </c>
      <c r="BB69">
        <v>-407</v>
      </c>
      <c r="BC69">
        <v>23</v>
      </c>
      <c r="BD69">
        <v>45</v>
      </c>
      <c r="BE69">
        <v>63</v>
      </c>
      <c r="BF69">
        <v>84</v>
      </c>
      <c r="BG69">
        <v>112</v>
      </c>
      <c r="BH69">
        <v>50.785627430356499</v>
      </c>
      <c r="BI69">
        <v>335</v>
      </c>
      <c r="BJ69">
        <v>39</v>
      </c>
      <c r="BK69">
        <v>742</v>
      </c>
      <c r="BL69">
        <v>31.670882537478999</v>
      </c>
      <c r="BM69">
        <v>16.573389588157301</v>
      </c>
      <c r="BN69">
        <v>31.4890829694323</v>
      </c>
      <c r="BO69">
        <v>0.76736831827311003</v>
      </c>
      <c r="BP69">
        <v>0.30232558139534799</v>
      </c>
      <c r="BQ69" t="s">
        <v>194</v>
      </c>
      <c r="BR69" s="2">
        <v>52590508</v>
      </c>
      <c r="BS69">
        <v>83.421687711770502</v>
      </c>
      <c r="BT69">
        <v>1089.8076762390101</v>
      </c>
      <c r="BU69">
        <v>16466.940078735301</v>
      </c>
      <c r="BV69" t="s">
        <v>194</v>
      </c>
      <c r="BW69" t="s">
        <v>194</v>
      </c>
      <c r="BX69" t="s">
        <v>194</v>
      </c>
      <c r="BY69" t="s">
        <v>194</v>
      </c>
      <c r="BZ69" t="s">
        <v>194</v>
      </c>
      <c r="CA69" t="s">
        <v>1402</v>
      </c>
      <c r="CB69" t="s">
        <v>1403</v>
      </c>
      <c r="CC69" t="s">
        <v>1404</v>
      </c>
      <c r="CD69" t="s">
        <v>1405</v>
      </c>
      <c r="CE69" t="s">
        <v>1406</v>
      </c>
      <c r="CF69" t="s">
        <v>1407</v>
      </c>
      <c r="CG69" t="s">
        <v>1408</v>
      </c>
      <c r="CH69">
        <v>107.166203519915</v>
      </c>
      <c r="CI69">
        <v>25.9252677489728</v>
      </c>
      <c r="CJ69">
        <v>2.8079715370170601E-2</v>
      </c>
      <c r="CK69">
        <v>9.3554927082493098</v>
      </c>
      <c r="CL69">
        <v>107</v>
      </c>
      <c r="CM69">
        <v>60</v>
      </c>
      <c r="CN69">
        <v>103</v>
      </c>
      <c r="CO69">
        <v>105</v>
      </c>
      <c r="CP69">
        <v>107</v>
      </c>
      <c r="CQ69">
        <v>109</v>
      </c>
      <c r="CR69">
        <v>112</v>
      </c>
      <c r="CS69">
        <v>5.0916861400692</v>
      </c>
      <c r="CT69">
        <v>134</v>
      </c>
      <c r="CU69">
        <v>107</v>
      </c>
      <c r="CV69">
        <v>4</v>
      </c>
      <c r="CW69">
        <v>74</v>
      </c>
      <c r="CX69">
        <v>3.1738082181437299</v>
      </c>
      <c r="CY69">
        <v>1.72071801444036</v>
      </c>
      <c r="CZ69">
        <v>3.14066428476908</v>
      </c>
      <c r="DA69">
        <v>4.7512051120883303E-2</v>
      </c>
      <c r="DB69">
        <v>1.86915887850467E-2</v>
      </c>
      <c r="DC69">
        <v>1.2136736586563801</v>
      </c>
      <c r="DD69">
        <v>4.0317366247153901</v>
      </c>
      <c r="DE69">
        <v>1071.6620351991601</v>
      </c>
      <c r="DF69">
        <v>8.9660409654654202E-2</v>
      </c>
      <c r="DG69">
        <v>3.4444957108337899E-3</v>
      </c>
      <c r="DH69">
        <v>306</v>
      </c>
      <c r="DI69">
        <v>105</v>
      </c>
      <c r="DJ69">
        <v>-238.5</v>
      </c>
      <c r="DK69">
        <v>108</v>
      </c>
      <c r="DL69" t="s">
        <v>194</v>
      </c>
      <c r="DM69" t="s">
        <v>194</v>
      </c>
      <c r="DN69" t="s">
        <v>194</v>
      </c>
      <c r="DO69" t="s">
        <v>194</v>
      </c>
      <c r="DP69" t="s">
        <v>194</v>
      </c>
      <c r="DQ69" t="s">
        <v>1409</v>
      </c>
      <c r="DR69" t="s">
        <v>1410</v>
      </c>
      <c r="DS69" t="s">
        <v>1411</v>
      </c>
      <c r="DT69" t="s">
        <v>1412</v>
      </c>
      <c r="DU69" t="s">
        <v>1406</v>
      </c>
      <c r="DV69" t="s">
        <v>1407</v>
      </c>
      <c r="DW69" t="s">
        <v>1413</v>
      </c>
      <c r="DX69">
        <v>5.4747964196783003E-2</v>
      </c>
      <c r="DY69">
        <v>107.270358032169</v>
      </c>
      <c r="DZ69">
        <v>24.481704973098299</v>
      </c>
      <c r="EA69">
        <v>6.6482711985142098</v>
      </c>
      <c r="EB69">
        <v>2.0013290500616998</v>
      </c>
      <c r="EC69">
        <v>1.2529443434955201</v>
      </c>
      <c r="ED69">
        <v>2.3897845538038802</v>
      </c>
      <c r="EE69">
        <v>6.6482711985142</v>
      </c>
      <c r="EF69">
        <v>214.540716064338</v>
      </c>
      <c r="EG69">
        <v>3.3852271574772299</v>
      </c>
      <c r="EH69">
        <v>8.8028750221346291E-3</v>
      </c>
      <c r="EI69">
        <v>2.04246311224743E-2</v>
      </c>
      <c r="EJ69">
        <v>3.9596540817013199</v>
      </c>
      <c r="EK69">
        <v>1.2529443434955201</v>
      </c>
      <c r="EL69">
        <v>0.58904437492405204</v>
      </c>
      <c r="EM69">
        <v>0.98394435244245304</v>
      </c>
      <c r="EN69">
        <v>0.551076424295454</v>
      </c>
      <c r="EO69">
        <v>0.99930510912020798</v>
      </c>
      <c r="EP69">
        <v>0</v>
      </c>
      <c r="EQ69">
        <v>0.91913034476045596</v>
      </c>
      <c r="ER69">
        <v>11529.4315902819</v>
      </c>
      <c r="ES69">
        <v>3.3852271574772299</v>
      </c>
      <c r="ET69">
        <v>388.57539814823701</v>
      </c>
      <c r="EU69">
        <v>100381.876566427</v>
      </c>
      <c r="EV69">
        <v>0.77122734286957495</v>
      </c>
      <c r="EW69">
        <v>2.6955227281321501</v>
      </c>
      <c r="EX69" s="2">
        <v>8.7702658127384697E-5</v>
      </c>
      <c r="EY69">
        <v>11530.360819653</v>
      </c>
      <c r="EZ69" s="2">
        <v>6.7673773354005794E-5</v>
      </c>
      <c r="FA69">
        <v>8902.0188047936408</v>
      </c>
      <c r="FB69" s="2">
        <v>2.3663998259128801E-4</v>
      </c>
      <c r="FC69">
        <v>30922.986678093501</v>
      </c>
      <c r="FD69">
        <v>440.95310097871902</v>
      </c>
      <c r="FE69">
        <v>2956.9882572944998</v>
      </c>
      <c r="FF69">
        <v>0.70414847161572003</v>
      </c>
      <c r="FG69">
        <v>2.2741399763420499E-3</v>
      </c>
      <c r="FH69">
        <v>1.08089247051266E-2</v>
      </c>
      <c r="FI69">
        <v>4.2258780209740103E-2</v>
      </c>
      <c r="FJ69">
        <v>1372.43638133226</v>
      </c>
      <c r="FK69">
        <v>8.3058416344080594</v>
      </c>
      <c r="FL69">
        <v>0.52564800224269204</v>
      </c>
      <c r="FM69">
        <v>78.280875455966594</v>
      </c>
      <c r="FN69" s="2">
        <v>8.8121704141785995E-5</v>
      </c>
      <c r="FO69">
        <v>11568.1010943199</v>
      </c>
      <c r="FP69" s="2">
        <v>4.6800082351536302E-5</v>
      </c>
      <c r="FQ69">
        <v>6055.66794538046</v>
      </c>
      <c r="FR69">
        <v>6.9469592536190901E-3</v>
      </c>
      <c r="FS69">
        <v>884389.15633142204</v>
      </c>
      <c r="FT69">
        <v>114.99895779051499</v>
      </c>
      <c r="FU69">
        <v>5.9926502235808102E-2</v>
      </c>
      <c r="FV69">
        <v>506.05158936946299</v>
      </c>
      <c r="FW69">
        <v>0.26370588294396202</v>
      </c>
      <c r="FX69">
        <v>0.25393674738652899</v>
      </c>
      <c r="FY69">
        <v>51.086884915144601</v>
      </c>
      <c r="FZ69">
        <v>62.773121748696099</v>
      </c>
      <c r="GA69">
        <v>7.1439588031157504</v>
      </c>
    </row>
    <row r="70" spans="1:183" x14ac:dyDescent="0.2">
      <c r="A70" t="s">
        <v>2505</v>
      </c>
      <c r="B70" t="s">
        <v>182</v>
      </c>
      <c r="C70" t="s">
        <v>1414</v>
      </c>
      <c r="D70" s="1">
        <v>42899</v>
      </c>
      <c r="E70" t="s">
        <v>362</v>
      </c>
      <c r="F70" t="s">
        <v>185</v>
      </c>
      <c r="G70" t="s">
        <v>186</v>
      </c>
      <c r="H70">
        <v>1</v>
      </c>
      <c r="I70">
        <v>400</v>
      </c>
      <c r="J70">
        <v>10</v>
      </c>
      <c r="K70" t="s">
        <v>187</v>
      </c>
      <c r="L70" t="s">
        <v>1415</v>
      </c>
      <c r="M70">
        <v>5</v>
      </c>
      <c r="N70">
        <v>0.66015625</v>
      </c>
      <c r="O70">
        <v>0.66015625</v>
      </c>
      <c r="P70" t="s">
        <v>1416</v>
      </c>
      <c r="Q70">
        <v>0</v>
      </c>
      <c r="R70">
        <v>86</v>
      </c>
      <c r="T70">
        <v>16427.535928090401</v>
      </c>
      <c r="U70">
        <v>16584.607772827101</v>
      </c>
      <c r="V70">
        <v>7611</v>
      </c>
      <c r="W70">
        <v>7624.0486601491702</v>
      </c>
      <c r="X70">
        <v>0.46410177969006</v>
      </c>
      <c r="Y70">
        <v>40.523417458861203</v>
      </c>
      <c r="Z70">
        <v>1.39225568554407E-2</v>
      </c>
      <c r="AA70">
        <v>6.8871611713302305E-2</v>
      </c>
      <c r="AB70">
        <v>2.4396072644271301</v>
      </c>
      <c r="AC70">
        <v>0.40990204225958299</v>
      </c>
      <c r="AD70">
        <v>1.4396072644271301</v>
      </c>
      <c r="AE70" t="s">
        <v>1417</v>
      </c>
      <c r="AF70" t="s">
        <v>1418</v>
      </c>
      <c r="AG70" t="s">
        <v>1419</v>
      </c>
      <c r="AH70" t="s">
        <v>193</v>
      </c>
      <c r="AI70" t="s">
        <v>193</v>
      </c>
      <c r="AJ70" t="s">
        <v>193</v>
      </c>
      <c r="AK70" t="s">
        <v>193</v>
      </c>
      <c r="AL70" t="s">
        <v>193</v>
      </c>
      <c r="AM70" t="s">
        <v>193</v>
      </c>
      <c r="AN70" t="s">
        <v>193</v>
      </c>
      <c r="AO70" t="s">
        <v>193</v>
      </c>
      <c r="AP70" t="s">
        <v>193</v>
      </c>
      <c r="AQ70">
        <v>4.5103923784888398</v>
      </c>
      <c r="AR70" t="s">
        <v>193</v>
      </c>
      <c r="AS70" t="s">
        <v>193</v>
      </c>
      <c r="AT70">
        <v>70.154966319686906</v>
      </c>
      <c r="AU70" t="s">
        <v>193</v>
      </c>
      <c r="AV70">
        <v>1555837.22908702</v>
      </c>
      <c r="AW70">
        <v>94.709105242412093</v>
      </c>
      <c r="AX70">
        <v>5481.3485690456801</v>
      </c>
      <c r="AY70">
        <v>0.74149336731223003</v>
      </c>
      <c r="AZ70">
        <v>4.1301767195713497</v>
      </c>
      <c r="BA70">
        <v>73</v>
      </c>
      <c r="BB70">
        <v>-390</v>
      </c>
      <c r="BC70">
        <v>41</v>
      </c>
      <c r="BD70">
        <v>55</v>
      </c>
      <c r="BE70">
        <v>73</v>
      </c>
      <c r="BF70">
        <v>112</v>
      </c>
      <c r="BG70">
        <v>198</v>
      </c>
      <c r="BH70">
        <v>74.036130159846195</v>
      </c>
      <c r="BI70">
        <v>396</v>
      </c>
      <c r="BJ70">
        <v>57</v>
      </c>
      <c r="BK70">
        <v>786</v>
      </c>
      <c r="BL70">
        <v>51.773830037815699</v>
      </c>
      <c r="BM70">
        <v>29.363705124284699</v>
      </c>
      <c r="BN70">
        <v>47.292077256602198</v>
      </c>
      <c r="BO70">
        <v>0.78172135583318403</v>
      </c>
      <c r="BP70">
        <v>0.34131736526946099</v>
      </c>
      <c r="BQ70" t="s">
        <v>194</v>
      </c>
      <c r="BR70" s="2">
        <v>109987803</v>
      </c>
      <c r="BS70">
        <v>120.212990915557</v>
      </c>
      <c r="BT70">
        <v>1570.7133629608099</v>
      </c>
      <c r="BU70">
        <v>16584.607772827101</v>
      </c>
      <c r="BV70" t="s">
        <v>194</v>
      </c>
      <c r="BW70" t="s">
        <v>194</v>
      </c>
      <c r="BX70" t="s">
        <v>194</v>
      </c>
      <c r="BY70" t="s">
        <v>194</v>
      </c>
      <c r="BZ70" t="s">
        <v>194</v>
      </c>
      <c r="CA70" t="s">
        <v>1420</v>
      </c>
      <c r="CB70" t="s">
        <v>1421</v>
      </c>
      <c r="CC70" t="s">
        <v>1422</v>
      </c>
      <c r="CD70" t="s">
        <v>1423</v>
      </c>
      <c r="CE70" t="s">
        <v>1424</v>
      </c>
      <c r="CF70" t="s">
        <v>1425</v>
      </c>
      <c r="CG70" t="s">
        <v>1426</v>
      </c>
      <c r="CH70">
        <v>110.019971094468</v>
      </c>
      <c r="CI70">
        <v>54.8357593474759</v>
      </c>
      <c r="CJ70">
        <v>0.74463497115864796</v>
      </c>
      <c r="CK70">
        <v>4.09797927304552</v>
      </c>
      <c r="CL70">
        <v>108</v>
      </c>
      <c r="CM70">
        <v>62</v>
      </c>
      <c r="CN70">
        <v>105</v>
      </c>
      <c r="CO70">
        <v>106</v>
      </c>
      <c r="CP70">
        <v>108</v>
      </c>
      <c r="CQ70">
        <v>112</v>
      </c>
      <c r="CR70">
        <v>120</v>
      </c>
      <c r="CS70">
        <v>7.4051171055882596</v>
      </c>
      <c r="CT70">
        <v>140</v>
      </c>
      <c r="CU70">
        <v>107</v>
      </c>
      <c r="CV70">
        <v>6</v>
      </c>
      <c r="CW70">
        <v>78</v>
      </c>
      <c r="CX70">
        <v>5.1679370085142597</v>
      </c>
      <c r="CY70">
        <v>2.9561189822046599</v>
      </c>
      <c r="CZ70">
        <v>4.7205360662199398</v>
      </c>
      <c r="DA70">
        <v>6.7307026460040498E-2</v>
      </c>
      <c r="DB70">
        <v>2.7522935779816501E-2</v>
      </c>
      <c r="DC70">
        <v>1.31492168581289</v>
      </c>
      <c r="DD70">
        <v>4.3680752906785001</v>
      </c>
      <c r="DE70">
        <v>1100.19971094467</v>
      </c>
      <c r="DF70">
        <v>7.6804777490055098E-2</v>
      </c>
      <c r="DG70">
        <v>3.1766784486900301E-3</v>
      </c>
      <c r="DH70">
        <v>363.5</v>
      </c>
      <c r="DI70">
        <v>105</v>
      </c>
      <c r="DJ70">
        <v>-278</v>
      </c>
      <c r="DK70">
        <v>108</v>
      </c>
      <c r="DL70" t="s">
        <v>194</v>
      </c>
      <c r="DM70" t="s">
        <v>194</v>
      </c>
      <c r="DN70" t="s">
        <v>194</v>
      </c>
      <c r="DO70" t="s">
        <v>194</v>
      </c>
      <c r="DP70" t="s">
        <v>194</v>
      </c>
      <c r="DQ70" t="s">
        <v>1427</v>
      </c>
      <c r="DR70" t="s">
        <v>1428</v>
      </c>
      <c r="DS70" t="s">
        <v>1429</v>
      </c>
      <c r="DT70" t="s">
        <v>1430</v>
      </c>
      <c r="DU70" t="s">
        <v>1424</v>
      </c>
      <c r="DV70" t="s">
        <v>1425</v>
      </c>
      <c r="DW70" t="s">
        <v>1431</v>
      </c>
      <c r="DX70">
        <v>5.0345541348111998E-2</v>
      </c>
      <c r="DY70">
        <v>110.16672787366799</v>
      </c>
      <c r="DZ70">
        <v>52.762339698824803</v>
      </c>
      <c r="EA70">
        <v>7.2139659796723299</v>
      </c>
      <c r="EB70">
        <v>2.1716201475808501</v>
      </c>
      <c r="EC70">
        <v>1.5627149200413899</v>
      </c>
      <c r="ED70">
        <v>4.1162634802090503</v>
      </c>
      <c r="EE70">
        <v>7.2139659796722997</v>
      </c>
      <c r="EF70">
        <v>220.33345574733701</v>
      </c>
      <c r="EG70">
        <v>8.4640098843290694</v>
      </c>
      <c r="EH70">
        <v>2.29831299820666E-2</v>
      </c>
      <c r="EI70">
        <v>1.68145554477886E-2</v>
      </c>
      <c r="EJ70">
        <v>6.5583414015290602</v>
      </c>
      <c r="EK70">
        <v>1.5627149200413899</v>
      </c>
      <c r="EL70">
        <v>0.55444275943677201</v>
      </c>
      <c r="EM70">
        <v>0.98117472041337295</v>
      </c>
      <c r="EN70">
        <v>0.50910475576410297</v>
      </c>
      <c r="EO70">
        <v>0.99896643713466104</v>
      </c>
      <c r="EP70">
        <v>0</v>
      </c>
      <c r="EQ70">
        <v>0.93785016510862496</v>
      </c>
      <c r="ER70">
        <v>12186.191099389</v>
      </c>
      <c r="ES70">
        <v>8.4640098843290694</v>
      </c>
      <c r="ET70">
        <v>3036.4798371372299</v>
      </c>
      <c r="EU70">
        <v>269441.70829292899</v>
      </c>
      <c r="EV70">
        <v>0.79910013481426101</v>
      </c>
      <c r="EW70">
        <v>2.4223282050430801</v>
      </c>
      <c r="EX70" s="2">
        <v>8.3432090418677804E-5</v>
      </c>
      <c r="EY70">
        <v>12237.942159951799</v>
      </c>
      <c r="EZ70" s="2">
        <v>6.6510656897227299E-5</v>
      </c>
      <c r="FA70">
        <v>9827.0293321726604</v>
      </c>
      <c r="FB70" s="2">
        <v>2.04099611459456E-4</v>
      </c>
      <c r="FC70">
        <v>29156.242931230201</v>
      </c>
      <c r="FD70">
        <v>376.09507362081899</v>
      </c>
      <c r="FE70">
        <v>3330.1457089381602</v>
      </c>
      <c r="FF70">
        <v>0.73449612403100695</v>
      </c>
      <c r="FG70">
        <v>2.4749666271815201E-3</v>
      </c>
      <c r="FH70">
        <v>1.98471799264647E-2</v>
      </c>
      <c r="FI70">
        <v>3.3624504886480798E-2</v>
      </c>
      <c r="FJ70">
        <v>2099.9395753523099</v>
      </c>
      <c r="FK70">
        <v>10.813365244573999</v>
      </c>
      <c r="FL70">
        <v>0.57230522072236001</v>
      </c>
      <c r="FM70">
        <v>56.417275461968202</v>
      </c>
      <c r="FN70" s="2">
        <v>8.2947882374591298E-5</v>
      </c>
      <c r="FO70">
        <v>12452.663944993499</v>
      </c>
      <c r="FP70" s="2">
        <v>4.7771578365410103E-5</v>
      </c>
      <c r="FQ70">
        <v>7153.3883127948802</v>
      </c>
      <c r="FR70">
        <v>4.8970077156415799E-3</v>
      </c>
      <c r="FS70">
        <v>653089.43790287897</v>
      </c>
      <c r="FT70">
        <v>99.531155994843104</v>
      </c>
      <c r="FU70">
        <v>4.2772305971140102E-2</v>
      </c>
      <c r="FV70">
        <v>716.74645466265497</v>
      </c>
      <c r="FW70">
        <v>0.30801308752155299</v>
      </c>
      <c r="FX70">
        <v>0.305741689659703</v>
      </c>
      <c r="FY70">
        <v>93.855870317043696</v>
      </c>
      <c r="FZ70">
        <v>45.719568991578598</v>
      </c>
      <c r="GA70">
        <v>7.3254149781830096</v>
      </c>
    </row>
    <row r="71" spans="1:183" x14ac:dyDescent="0.2">
      <c r="A71" t="s">
        <v>2505</v>
      </c>
      <c r="B71" t="s">
        <v>182</v>
      </c>
      <c r="C71" t="s">
        <v>1414</v>
      </c>
      <c r="D71" s="1">
        <v>42899</v>
      </c>
      <c r="E71" t="s">
        <v>362</v>
      </c>
      <c r="F71" t="s">
        <v>185</v>
      </c>
      <c r="G71" t="s">
        <v>186</v>
      </c>
      <c r="H71">
        <v>1</v>
      </c>
      <c r="I71">
        <v>400</v>
      </c>
      <c r="J71">
        <v>10</v>
      </c>
      <c r="K71" t="s">
        <v>187</v>
      </c>
      <c r="L71" t="s">
        <v>1432</v>
      </c>
      <c r="M71">
        <v>5</v>
      </c>
      <c r="N71">
        <v>0.66015625</v>
      </c>
      <c r="O71">
        <v>0.66015625</v>
      </c>
      <c r="P71" t="s">
        <v>1433</v>
      </c>
      <c r="Q71">
        <v>0</v>
      </c>
      <c r="R71">
        <v>87</v>
      </c>
      <c r="T71">
        <v>18122.459163665699</v>
      </c>
      <c r="U71">
        <v>18299.505462646401</v>
      </c>
      <c r="V71">
        <v>8398</v>
      </c>
      <c r="W71">
        <v>8430.0891594944896</v>
      </c>
      <c r="X71">
        <v>0.46517357734739501</v>
      </c>
      <c r="Y71">
        <v>42.710152492601097</v>
      </c>
      <c r="Z71">
        <v>1.32097300201747E-2</v>
      </c>
      <c r="AA71">
        <v>6.1999777278437702E-2</v>
      </c>
      <c r="AB71">
        <v>2.5266007663897798</v>
      </c>
      <c r="AC71">
        <v>0.39578868703854603</v>
      </c>
      <c r="AD71">
        <v>1.52660076638978</v>
      </c>
      <c r="AE71" t="s">
        <v>1434</v>
      </c>
      <c r="AF71" t="s">
        <v>1435</v>
      </c>
      <c r="AG71" t="s">
        <v>1436</v>
      </c>
      <c r="AH71" t="s">
        <v>193</v>
      </c>
      <c r="AI71" t="s">
        <v>193</v>
      </c>
      <c r="AJ71" t="s">
        <v>193</v>
      </c>
      <c r="AK71" t="s">
        <v>193</v>
      </c>
      <c r="AL71" t="s">
        <v>193</v>
      </c>
      <c r="AM71" t="s">
        <v>193</v>
      </c>
      <c r="AN71" t="s">
        <v>193</v>
      </c>
      <c r="AO71" t="s">
        <v>193</v>
      </c>
      <c r="AP71" t="s">
        <v>193</v>
      </c>
      <c r="AQ71">
        <v>4.3916120391053601</v>
      </c>
      <c r="AR71" t="s">
        <v>193</v>
      </c>
      <c r="AS71" t="s">
        <v>193</v>
      </c>
      <c r="AT71">
        <v>79.137815404880101</v>
      </c>
      <c r="AU71" t="s">
        <v>193</v>
      </c>
      <c r="AV71">
        <v>1650291.81298087</v>
      </c>
      <c r="AW71">
        <v>91.0633484162895</v>
      </c>
      <c r="AX71">
        <v>5032.5530243680096</v>
      </c>
      <c r="AY71">
        <v>0.26112870785440301</v>
      </c>
      <c r="AZ71">
        <v>8.5696098336317696</v>
      </c>
      <c r="BA71">
        <v>79</v>
      </c>
      <c r="BB71">
        <v>-440</v>
      </c>
      <c r="BC71">
        <v>42</v>
      </c>
      <c r="BD71">
        <v>59</v>
      </c>
      <c r="BE71">
        <v>79</v>
      </c>
      <c r="BF71">
        <v>111</v>
      </c>
      <c r="BG71">
        <v>162</v>
      </c>
      <c r="BH71">
        <v>70.940489315820301</v>
      </c>
      <c r="BI71">
        <v>457</v>
      </c>
      <c r="BJ71">
        <v>52</v>
      </c>
      <c r="BK71">
        <v>897</v>
      </c>
      <c r="BL71">
        <v>44.388391332131597</v>
      </c>
      <c r="BM71">
        <v>23.086429790623701</v>
      </c>
      <c r="BN71">
        <v>42.823053107882799</v>
      </c>
      <c r="BO71">
        <v>0.77902351000229997</v>
      </c>
      <c r="BP71">
        <v>0.30588235294117599</v>
      </c>
      <c r="BQ71" t="s">
        <v>194</v>
      </c>
      <c r="BR71" s="2">
        <v>111904076</v>
      </c>
      <c r="BS71">
        <v>115.43433825839899</v>
      </c>
      <c r="BT71">
        <v>1666.4142417907699</v>
      </c>
      <c r="BU71">
        <v>24399.3406168619</v>
      </c>
      <c r="BV71" t="s">
        <v>194</v>
      </c>
      <c r="BW71" t="s">
        <v>194</v>
      </c>
      <c r="BX71" t="s">
        <v>194</v>
      </c>
      <c r="BY71" t="s">
        <v>194</v>
      </c>
      <c r="BZ71" t="s">
        <v>194</v>
      </c>
      <c r="CA71" t="s">
        <v>1437</v>
      </c>
      <c r="CB71" t="s">
        <v>1438</v>
      </c>
      <c r="CC71" t="s">
        <v>1439</v>
      </c>
      <c r="CD71" t="s">
        <v>1440</v>
      </c>
      <c r="CE71" t="s">
        <v>1441</v>
      </c>
      <c r="CF71" t="s">
        <v>1442</v>
      </c>
      <c r="CG71" t="s">
        <v>1443</v>
      </c>
      <c r="CH71">
        <v>109.663729459395</v>
      </c>
      <c r="CI71">
        <v>50.359177422402098</v>
      </c>
      <c r="CJ71">
        <v>0.26124160864679602</v>
      </c>
      <c r="CK71">
        <v>8.5055139180856401</v>
      </c>
      <c r="CL71">
        <v>108</v>
      </c>
      <c r="CM71">
        <v>57</v>
      </c>
      <c r="CN71">
        <v>105</v>
      </c>
      <c r="CO71">
        <v>106</v>
      </c>
      <c r="CP71">
        <v>108</v>
      </c>
      <c r="CQ71">
        <v>112</v>
      </c>
      <c r="CR71">
        <v>117</v>
      </c>
      <c r="CS71">
        <v>7.09642004269773</v>
      </c>
      <c r="CT71">
        <v>146</v>
      </c>
      <c r="CU71">
        <v>107</v>
      </c>
      <c r="CV71">
        <v>6</v>
      </c>
      <c r="CW71">
        <v>89</v>
      </c>
      <c r="CX71">
        <v>4.4524407057534203</v>
      </c>
      <c r="CY71">
        <v>2.3915940157607301</v>
      </c>
      <c r="CZ71">
        <v>4.2931650392950704</v>
      </c>
      <c r="DA71">
        <v>6.4710730500235805E-2</v>
      </c>
      <c r="DB71">
        <v>2.7522935779816501E-2</v>
      </c>
      <c r="DC71">
        <v>1.3070646857335899</v>
      </c>
      <c r="DD71">
        <v>4.3419749013735398</v>
      </c>
      <c r="DE71">
        <v>1096.63729459397</v>
      </c>
      <c r="DF71">
        <v>7.3939910505007395E-2</v>
      </c>
      <c r="DG71">
        <v>2.9672321445728699E-3</v>
      </c>
      <c r="DH71">
        <v>311.5</v>
      </c>
      <c r="DI71">
        <v>105</v>
      </c>
      <c r="DJ71">
        <v>-178</v>
      </c>
      <c r="DK71">
        <v>108</v>
      </c>
      <c r="DL71" t="s">
        <v>194</v>
      </c>
      <c r="DM71" t="s">
        <v>194</v>
      </c>
      <c r="DN71" t="s">
        <v>194</v>
      </c>
      <c r="DO71" t="s">
        <v>194</v>
      </c>
      <c r="DP71" t="s">
        <v>194</v>
      </c>
      <c r="DQ71" t="s">
        <v>1444</v>
      </c>
      <c r="DR71" t="s">
        <v>1445</v>
      </c>
      <c r="DS71" t="s">
        <v>1446</v>
      </c>
      <c r="DT71" t="s">
        <v>1447</v>
      </c>
      <c r="DU71" t="s">
        <v>1441</v>
      </c>
      <c r="DV71" t="s">
        <v>1442</v>
      </c>
      <c r="DW71" t="s">
        <v>1448</v>
      </c>
      <c r="DX71">
        <v>4.6123116034138302E-2</v>
      </c>
      <c r="DY71">
        <v>109.82794625022601</v>
      </c>
      <c r="DZ71">
        <v>47.199045894090602</v>
      </c>
      <c r="EA71">
        <v>7.3074176022062796</v>
      </c>
      <c r="EB71">
        <v>2.19975188910706</v>
      </c>
      <c r="EC71">
        <v>1.7274983354518401</v>
      </c>
      <c r="ED71">
        <v>5.4444160466197298</v>
      </c>
      <c r="EE71">
        <v>7.3074176022062396</v>
      </c>
      <c r="EF71">
        <v>219.65589250045301</v>
      </c>
      <c r="EG71">
        <v>28.7959931738819</v>
      </c>
      <c r="EH71">
        <v>0.11579474443030301</v>
      </c>
      <c r="EI71">
        <v>1.45131638279595E-2</v>
      </c>
      <c r="EJ71">
        <v>8.4286665456085892</v>
      </c>
      <c r="EK71">
        <v>1.7274983354518401</v>
      </c>
      <c r="EL71">
        <v>0.53936589754592701</v>
      </c>
      <c r="EM71">
        <v>0.98174846937714899</v>
      </c>
      <c r="EN71">
        <v>0.49115392882855602</v>
      </c>
      <c r="EO71">
        <v>0.99897745831059404</v>
      </c>
      <c r="EP71">
        <v>0</v>
      </c>
      <c r="EQ71">
        <v>0.91071147323060597</v>
      </c>
      <c r="ER71">
        <v>12105.162490164001</v>
      </c>
      <c r="ES71">
        <v>28.7959931738819</v>
      </c>
      <c r="ET71">
        <v>1773.1484876004399</v>
      </c>
      <c r="EU71">
        <v>346243.62811022397</v>
      </c>
      <c r="EV71">
        <v>0.80916813835731505</v>
      </c>
      <c r="EW71">
        <v>2.3243445382154699</v>
      </c>
      <c r="EX71" s="2">
        <v>8.4219972919312905E-5</v>
      </c>
      <c r="EY71">
        <v>12124.2365025735</v>
      </c>
      <c r="EZ71" s="2">
        <v>6.8145003291868506E-5</v>
      </c>
      <c r="FA71">
        <v>9837.5556498961596</v>
      </c>
      <c r="FB71" s="2">
        <v>1.96365107673248E-4</v>
      </c>
      <c r="FC71">
        <v>27879.823995332401</v>
      </c>
      <c r="FD71">
        <v>422.14626317244301</v>
      </c>
      <c r="FE71">
        <v>3840.4534573559599</v>
      </c>
      <c r="FF71">
        <v>0.74735055965706099</v>
      </c>
      <c r="FG71">
        <v>2.1540773408633301E-3</v>
      </c>
      <c r="FH71">
        <v>1.38662564742434E-2</v>
      </c>
      <c r="FI71">
        <v>3.1037763363808701E-2</v>
      </c>
      <c r="FJ71">
        <v>3134.1485943667699</v>
      </c>
      <c r="FK71">
        <v>14.438525198077899</v>
      </c>
      <c r="FL71">
        <v>0.56707477393130401</v>
      </c>
      <c r="FM71">
        <v>35.534317343173399</v>
      </c>
      <c r="FN71" s="2">
        <v>8.4463912105968398E-5</v>
      </c>
      <c r="FO71">
        <v>12248.236531365301</v>
      </c>
      <c r="FP71" s="2">
        <v>4.8565430553261202E-5</v>
      </c>
      <c r="FQ71">
        <v>6934.6237192696299</v>
      </c>
      <c r="FR71">
        <v>3.0381636847459899E-3</v>
      </c>
      <c r="FS71">
        <v>417897.61549815501</v>
      </c>
      <c r="FT71">
        <v>131.22804428044199</v>
      </c>
      <c r="FU71">
        <v>4.8423632575809103E-2</v>
      </c>
      <c r="FV71">
        <v>820.357195571955</v>
      </c>
      <c r="FW71">
        <v>0.30271483231437402</v>
      </c>
      <c r="FX71">
        <v>0.32269587997142102</v>
      </c>
      <c r="FY71">
        <v>91.750096676243402</v>
      </c>
      <c r="FZ71">
        <v>25.931179586334601</v>
      </c>
      <c r="GA71">
        <v>7.2439598406329004</v>
      </c>
    </row>
    <row r="72" spans="1:183" x14ac:dyDescent="0.2">
      <c r="A72" t="s">
        <v>2505</v>
      </c>
      <c r="B72" t="s">
        <v>182</v>
      </c>
      <c r="C72" t="s">
        <v>1449</v>
      </c>
      <c r="D72" s="1">
        <v>42899</v>
      </c>
      <c r="E72" t="s">
        <v>362</v>
      </c>
      <c r="F72" t="s">
        <v>185</v>
      </c>
      <c r="G72" t="s">
        <v>186</v>
      </c>
      <c r="H72">
        <v>1</v>
      </c>
      <c r="I72">
        <v>400</v>
      </c>
      <c r="J72">
        <v>10</v>
      </c>
      <c r="K72" t="s">
        <v>187</v>
      </c>
      <c r="L72" t="s">
        <v>1450</v>
      </c>
      <c r="M72">
        <v>5</v>
      </c>
      <c r="N72">
        <v>0.66015625</v>
      </c>
      <c r="O72">
        <v>0.66015625</v>
      </c>
      <c r="P72" t="s">
        <v>1451</v>
      </c>
      <c r="Q72">
        <v>0</v>
      </c>
      <c r="R72">
        <v>88</v>
      </c>
      <c r="T72">
        <v>21844.063161214101</v>
      </c>
      <c r="U72">
        <v>22040.9023284912</v>
      </c>
      <c r="V72">
        <v>10115</v>
      </c>
      <c r="W72">
        <v>10070.7971905963</v>
      </c>
      <c r="X72">
        <v>0.46103131621033899</v>
      </c>
      <c r="Y72">
        <v>46.2660423987667</v>
      </c>
      <c r="Z72">
        <v>1.2194463893950701E-2</v>
      </c>
      <c r="AA72">
        <v>5.2835724922920498E-2</v>
      </c>
      <c r="AB72">
        <v>2.6649605012831299</v>
      </c>
      <c r="AC72">
        <v>0.37524008311512203</v>
      </c>
      <c r="AD72">
        <v>1.6649605012831299</v>
      </c>
      <c r="AE72" t="s">
        <v>1452</v>
      </c>
      <c r="AF72" t="s">
        <v>1453</v>
      </c>
      <c r="AG72" t="s">
        <v>1454</v>
      </c>
      <c r="AH72" t="s">
        <v>193</v>
      </c>
      <c r="AI72" t="s">
        <v>193</v>
      </c>
      <c r="AJ72" t="s">
        <v>193</v>
      </c>
      <c r="AK72" t="s">
        <v>193</v>
      </c>
      <c r="AL72" t="s">
        <v>193</v>
      </c>
      <c r="AM72" t="s">
        <v>193</v>
      </c>
      <c r="AN72" t="s">
        <v>193</v>
      </c>
      <c r="AO72" t="s">
        <v>193</v>
      </c>
      <c r="AP72" t="s">
        <v>193</v>
      </c>
      <c r="AQ72">
        <v>2.88884739573834</v>
      </c>
      <c r="AR72" t="s">
        <v>193</v>
      </c>
      <c r="AS72" t="s">
        <v>193</v>
      </c>
      <c r="AT72">
        <v>85.128399460367106</v>
      </c>
      <c r="AU72" t="s">
        <v>193</v>
      </c>
      <c r="AV72">
        <v>1667020.55595954</v>
      </c>
      <c r="AW72">
        <v>76.314582303509795</v>
      </c>
      <c r="AX72">
        <v>4000.5187344646702</v>
      </c>
      <c r="AY72">
        <v>-1.05562285298389</v>
      </c>
      <c r="AZ72">
        <v>21.652432939012598</v>
      </c>
      <c r="BA72">
        <v>72</v>
      </c>
      <c r="BB72">
        <v>-619</v>
      </c>
      <c r="BC72">
        <v>38</v>
      </c>
      <c r="BD72">
        <v>55</v>
      </c>
      <c r="BE72">
        <v>72</v>
      </c>
      <c r="BF72">
        <v>93</v>
      </c>
      <c r="BG72">
        <v>121</v>
      </c>
      <c r="BH72">
        <v>63.249654026442499</v>
      </c>
      <c r="BI72">
        <v>459</v>
      </c>
      <c r="BJ72">
        <v>38</v>
      </c>
      <c r="BK72">
        <v>1078</v>
      </c>
      <c r="BL72">
        <v>33.9821730182002</v>
      </c>
      <c r="BM72">
        <v>16.391655032877701</v>
      </c>
      <c r="BN72">
        <v>33.772614928324202</v>
      </c>
      <c r="BO72">
        <v>0.82880168006283494</v>
      </c>
      <c r="BP72">
        <v>0.25675675675675602</v>
      </c>
      <c r="BQ72" t="s">
        <v>194</v>
      </c>
      <c r="BR72" s="2">
        <v>99374152</v>
      </c>
      <c r="BS72">
        <v>99.118283916862794</v>
      </c>
      <c r="BT72">
        <v>1682.0422547912599</v>
      </c>
      <c r="BU72">
        <v>29387.869771321599</v>
      </c>
      <c r="BV72" t="s">
        <v>194</v>
      </c>
      <c r="BW72" t="s">
        <v>194</v>
      </c>
      <c r="BX72" t="s">
        <v>194</v>
      </c>
      <c r="BY72" t="s">
        <v>194</v>
      </c>
      <c r="BZ72" t="s">
        <v>194</v>
      </c>
      <c r="CA72" t="s">
        <v>1455</v>
      </c>
      <c r="CB72" t="s">
        <v>1456</v>
      </c>
      <c r="CC72" t="s">
        <v>1457</v>
      </c>
      <c r="CD72" t="s">
        <v>1458</v>
      </c>
      <c r="CE72" t="s">
        <v>1459</v>
      </c>
      <c r="CF72" t="s">
        <v>1460</v>
      </c>
      <c r="CG72" t="s">
        <v>1461</v>
      </c>
      <c r="CH72">
        <v>108.18091942659299</v>
      </c>
      <c r="CI72">
        <v>40.046358620794301</v>
      </c>
      <c r="CJ72">
        <v>-1.0452754481829001</v>
      </c>
      <c r="CK72">
        <v>21.522021881950501</v>
      </c>
      <c r="CL72">
        <v>108</v>
      </c>
      <c r="CM72">
        <v>39</v>
      </c>
      <c r="CN72">
        <v>104</v>
      </c>
      <c r="CO72">
        <v>106</v>
      </c>
      <c r="CP72">
        <v>108</v>
      </c>
      <c r="CQ72">
        <v>110</v>
      </c>
      <c r="CR72">
        <v>113</v>
      </c>
      <c r="CS72">
        <v>6.3282192298303297</v>
      </c>
      <c r="CT72">
        <v>146</v>
      </c>
      <c r="CU72">
        <v>107</v>
      </c>
      <c r="CV72">
        <v>4</v>
      </c>
      <c r="CW72">
        <v>107</v>
      </c>
      <c r="CX72">
        <v>3.4046147015696402</v>
      </c>
      <c r="CY72">
        <v>1.7895787660087501</v>
      </c>
      <c r="CZ72">
        <v>3.3692535837864499</v>
      </c>
      <c r="DA72">
        <v>5.8496630120844301E-2</v>
      </c>
      <c r="DB72">
        <v>1.85185185185185E-2</v>
      </c>
      <c r="DC72">
        <v>1.2118607420584899</v>
      </c>
      <c r="DD72">
        <v>4.0257142461351698</v>
      </c>
      <c r="DE72">
        <v>1081.80919426588</v>
      </c>
      <c r="DF72">
        <v>9.2403938982472594E-2</v>
      </c>
      <c r="DG72">
        <v>3.02247208701817E-3</v>
      </c>
      <c r="DH72">
        <v>407.5</v>
      </c>
      <c r="DI72">
        <v>105</v>
      </c>
      <c r="DJ72">
        <v>-292.5</v>
      </c>
      <c r="DK72">
        <v>110</v>
      </c>
      <c r="DL72" t="s">
        <v>194</v>
      </c>
      <c r="DM72" t="s">
        <v>194</v>
      </c>
      <c r="DN72" t="s">
        <v>194</v>
      </c>
      <c r="DO72" t="s">
        <v>194</v>
      </c>
      <c r="DP72" t="s">
        <v>194</v>
      </c>
      <c r="DQ72" t="s">
        <v>1462</v>
      </c>
      <c r="DR72" t="s">
        <v>1463</v>
      </c>
      <c r="DS72" t="s">
        <v>1464</v>
      </c>
      <c r="DT72" t="s">
        <v>1465</v>
      </c>
      <c r="DU72" t="s">
        <v>1459</v>
      </c>
      <c r="DV72" t="s">
        <v>1460</v>
      </c>
      <c r="DW72" t="s">
        <v>1466</v>
      </c>
      <c r="DX72">
        <v>5.19327309236947E-2</v>
      </c>
      <c r="DY72">
        <v>108.33723644578301</v>
      </c>
      <c r="DZ72">
        <v>35.780661639876499</v>
      </c>
      <c r="EA72">
        <v>6.8227034499277899</v>
      </c>
      <c r="EB72">
        <v>2.0538383899483699</v>
      </c>
      <c r="EC72">
        <v>1.5882279116465801</v>
      </c>
      <c r="ED72">
        <v>6.0049166388193598</v>
      </c>
      <c r="EE72">
        <v>6.8227034499279098</v>
      </c>
      <c r="EF72">
        <v>216.67447289156601</v>
      </c>
      <c r="EG72">
        <v>60.695981727375198</v>
      </c>
      <c r="EH72">
        <v>3.5563522655255899</v>
      </c>
      <c r="EI72">
        <v>1.95671976308852E-2</v>
      </c>
      <c r="EJ72">
        <v>8.5273845381525799</v>
      </c>
      <c r="EK72">
        <v>1.5882279116465801</v>
      </c>
      <c r="EL72">
        <v>0.562555223924603</v>
      </c>
      <c r="EM72">
        <v>0.98595067697471495</v>
      </c>
      <c r="EN72">
        <v>0.51997390766938401</v>
      </c>
      <c r="EO72">
        <v>0.99928486004753403</v>
      </c>
      <c r="EP72">
        <v>0</v>
      </c>
      <c r="EQ72">
        <v>0.880838081978772</v>
      </c>
      <c r="ER72">
        <v>11768.4737700802</v>
      </c>
      <c r="ES72">
        <v>60.695981727375198</v>
      </c>
      <c r="ET72">
        <v>-285.35067376672799</v>
      </c>
      <c r="EU72">
        <v>394867.294675018</v>
      </c>
      <c r="EV72">
        <v>0.78972221685280097</v>
      </c>
      <c r="EW72">
        <v>2.49618172137244</v>
      </c>
      <c r="EX72" s="2">
        <v>8.6946314719779796E-5</v>
      </c>
      <c r="EY72">
        <v>11755.783691164501</v>
      </c>
      <c r="EZ72" s="2">
        <v>6.8909965041672795E-5</v>
      </c>
      <c r="FA72">
        <v>9288.8969087847399</v>
      </c>
      <c r="FB72" s="2">
        <v>2.1553067347823701E-4</v>
      </c>
      <c r="FC72">
        <v>29249.021615707399</v>
      </c>
      <c r="FD72">
        <v>620.95486061709403</v>
      </c>
      <c r="FE72">
        <v>4278.71231228954</v>
      </c>
      <c r="FF72">
        <v>0.72570439940682097</v>
      </c>
      <c r="FG72">
        <v>1.5268718932447999E-3</v>
      </c>
      <c r="FH72">
        <v>7.9121031135888902E-3</v>
      </c>
      <c r="FI72">
        <v>3.6024948556389901E-2</v>
      </c>
      <c r="FJ72">
        <v>4253.0236203333698</v>
      </c>
      <c r="FK72">
        <v>21.385144502712599</v>
      </c>
      <c r="FL72">
        <v>0.55396179569936599</v>
      </c>
      <c r="FM72">
        <v>50.633424098025799</v>
      </c>
      <c r="FN72" s="2">
        <v>8.8705836956987899E-5</v>
      </c>
      <c r="FO72">
        <v>11776.063648740599</v>
      </c>
      <c r="FP72" s="2">
        <v>5.0571107133748901E-5</v>
      </c>
      <c r="FQ72">
        <v>6486.0618768894701</v>
      </c>
      <c r="FR72">
        <v>4.3971984020023999E-3</v>
      </c>
      <c r="FS72">
        <v>584947.49965963198</v>
      </c>
      <c r="FT72">
        <v>172.95507147719499</v>
      </c>
      <c r="FU72">
        <v>5.8868302068480302E-2</v>
      </c>
      <c r="FV72">
        <v>849.461538461538</v>
      </c>
      <c r="FW72">
        <v>0.28912918259412401</v>
      </c>
      <c r="FX72">
        <v>0.29045971329708298</v>
      </c>
      <c r="FY72">
        <v>91.837052314661804</v>
      </c>
      <c r="FZ72">
        <v>38.780426638850201</v>
      </c>
      <c r="GA72">
        <v>7.1647553882597697</v>
      </c>
    </row>
    <row r="73" spans="1:183" x14ac:dyDescent="0.2">
      <c r="A73" t="s">
        <v>2505</v>
      </c>
      <c r="B73" t="s">
        <v>182</v>
      </c>
      <c r="C73" t="s">
        <v>1449</v>
      </c>
      <c r="D73" s="1">
        <v>42899</v>
      </c>
      <c r="E73" t="s">
        <v>362</v>
      </c>
      <c r="F73" t="s">
        <v>185</v>
      </c>
      <c r="G73" t="s">
        <v>186</v>
      </c>
      <c r="H73">
        <v>1</v>
      </c>
      <c r="I73">
        <v>400</v>
      </c>
      <c r="J73">
        <v>10</v>
      </c>
      <c r="K73" t="s">
        <v>187</v>
      </c>
      <c r="L73" t="s">
        <v>1467</v>
      </c>
      <c r="M73">
        <v>5</v>
      </c>
      <c r="N73">
        <v>0.66015625</v>
      </c>
      <c r="O73">
        <v>0.66015625</v>
      </c>
      <c r="P73" t="s">
        <v>1468</v>
      </c>
      <c r="Q73">
        <v>0</v>
      </c>
      <c r="R73">
        <v>89</v>
      </c>
      <c r="T73">
        <v>21296.5815289815</v>
      </c>
      <c r="U73">
        <v>21487.428359985301</v>
      </c>
      <c r="V73">
        <v>9861</v>
      </c>
      <c r="W73">
        <v>9791.7590179090803</v>
      </c>
      <c r="X73">
        <v>0.45978078709880899</v>
      </c>
      <c r="Y73">
        <v>45.496834144979097</v>
      </c>
      <c r="Z73">
        <v>1.24006338935567E-2</v>
      </c>
      <c r="AA73">
        <v>5.46373991659505E-2</v>
      </c>
      <c r="AB73">
        <v>2.6353400408671099</v>
      </c>
      <c r="AC73">
        <v>0.37945767320067197</v>
      </c>
      <c r="AD73">
        <v>1.6353400408671099</v>
      </c>
      <c r="AE73" t="s">
        <v>1469</v>
      </c>
      <c r="AF73" t="s">
        <v>1470</v>
      </c>
      <c r="AG73" t="s">
        <v>1471</v>
      </c>
      <c r="AH73" t="s">
        <v>193</v>
      </c>
      <c r="AI73" t="s">
        <v>193</v>
      </c>
      <c r="AJ73" t="s">
        <v>193</v>
      </c>
      <c r="AK73" t="s">
        <v>193</v>
      </c>
      <c r="AL73" t="s">
        <v>193</v>
      </c>
      <c r="AM73" t="s">
        <v>193</v>
      </c>
      <c r="AN73" t="s">
        <v>193</v>
      </c>
      <c r="AO73" t="s">
        <v>193</v>
      </c>
      <c r="AP73" t="s">
        <v>193</v>
      </c>
      <c r="AQ73">
        <v>3.0301651437938402</v>
      </c>
      <c r="AR73" t="s">
        <v>193</v>
      </c>
      <c r="AS73" t="s">
        <v>193</v>
      </c>
      <c r="AT73">
        <v>81.921483945668001</v>
      </c>
      <c r="AU73" t="s">
        <v>193</v>
      </c>
      <c r="AV73">
        <v>1461736.7987873501</v>
      </c>
      <c r="AW73">
        <v>68.6371564750022</v>
      </c>
      <c r="AX73">
        <v>3507.2177006254501</v>
      </c>
      <c r="AY73">
        <v>-3.7870828871892601</v>
      </c>
      <c r="AZ73">
        <v>29.306266528737702</v>
      </c>
      <c r="BA73">
        <v>68</v>
      </c>
      <c r="BB73">
        <v>-630</v>
      </c>
      <c r="BC73">
        <v>38</v>
      </c>
      <c r="BD73">
        <v>52</v>
      </c>
      <c r="BE73">
        <v>68</v>
      </c>
      <c r="BF73">
        <v>90</v>
      </c>
      <c r="BG73">
        <v>120</v>
      </c>
      <c r="BH73">
        <v>59.221767118395299</v>
      </c>
      <c r="BI73">
        <v>319</v>
      </c>
      <c r="BJ73">
        <v>38</v>
      </c>
      <c r="BK73">
        <v>949</v>
      </c>
      <c r="BL73">
        <v>31.496206868823698</v>
      </c>
      <c r="BM73">
        <v>16.370646587503099</v>
      </c>
      <c r="BN73">
        <v>31.488388601561699</v>
      </c>
      <c r="BO73">
        <v>0.86282372638738303</v>
      </c>
      <c r="BP73">
        <v>0.26760563380281599</v>
      </c>
      <c r="BQ73" t="s">
        <v>194</v>
      </c>
      <c r="BR73" s="2">
        <v>81040429</v>
      </c>
      <c r="BS73">
        <v>90.654712782068998</v>
      </c>
      <c r="BT73">
        <v>1474.8359825897101</v>
      </c>
      <c r="BU73">
        <v>21487.428359985301</v>
      </c>
      <c r="BV73" t="s">
        <v>194</v>
      </c>
      <c r="BW73" t="s">
        <v>194</v>
      </c>
      <c r="BX73" t="s">
        <v>194</v>
      </c>
      <c r="BY73" t="s">
        <v>194</v>
      </c>
      <c r="BZ73" t="s">
        <v>194</v>
      </c>
      <c r="CA73" t="s">
        <v>1472</v>
      </c>
      <c r="CB73" t="s">
        <v>1473</v>
      </c>
      <c r="CC73" t="s">
        <v>1474</v>
      </c>
      <c r="CD73" t="s">
        <v>1475</v>
      </c>
      <c r="CE73" t="s">
        <v>1476</v>
      </c>
      <c r="CF73" t="s">
        <v>1477</v>
      </c>
      <c r="CG73" t="s">
        <v>1478</v>
      </c>
      <c r="CH73">
        <v>107.41618497109801</v>
      </c>
      <c r="CI73">
        <v>35.097249455289699</v>
      </c>
      <c r="CJ73">
        <v>-3.76913126051305</v>
      </c>
      <c r="CK73">
        <v>29.088835997682999</v>
      </c>
      <c r="CL73">
        <v>107</v>
      </c>
      <c r="CM73">
        <v>38</v>
      </c>
      <c r="CN73">
        <v>104</v>
      </c>
      <c r="CO73">
        <v>106</v>
      </c>
      <c r="CP73">
        <v>107</v>
      </c>
      <c r="CQ73">
        <v>110</v>
      </c>
      <c r="CR73">
        <v>113</v>
      </c>
      <c r="CS73">
        <v>5.9242931608158704</v>
      </c>
      <c r="CT73">
        <v>132</v>
      </c>
      <c r="CU73">
        <v>107</v>
      </c>
      <c r="CV73">
        <v>4</v>
      </c>
      <c r="CW73">
        <v>94</v>
      </c>
      <c r="CX73">
        <v>3.1672806929616399</v>
      </c>
      <c r="CY73">
        <v>1.8255385034709899</v>
      </c>
      <c r="CZ73">
        <v>3.1501876077476898</v>
      </c>
      <c r="DA73">
        <v>5.5152704989568299E-2</v>
      </c>
      <c r="DB73">
        <v>1.85185185185185E-2</v>
      </c>
      <c r="DC73">
        <v>1.17503191732678</v>
      </c>
      <c r="DD73">
        <v>3.9033715385572001</v>
      </c>
      <c r="DE73">
        <v>1074.16184971096</v>
      </c>
      <c r="DF73">
        <v>9.6969815328101699E-2</v>
      </c>
      <c r="DG73">
        <v>3.1358682273666901E-3</v>
      </c>
      <c r="DH73">
        <v>536.5</v>
      </c>
      <c r="DI73">
        <v>105</v>
      </c>
      <c r="DJ73">
        <v>-295.5</v>
      </c>
      <c r="DK73">
        <v>108</v>
      </c>
      <c r="DL73" t="s">
        <v>194</v>
      </c>
      <c r="DM73" t="s">
        <v>194</v>
      </c>
      <c r="DN73" t="s">
        <v>194</v>
      </c>
      <c r="DO73" t="s">
        <v>194</v>
      </c>
      <c r="DP73" t="s">
        <v>194</v>
      </c>
      <c r="DQ73" t="s">
        <v>1479</v>
      </c>
      <c r="DR73" t="s">
        <v>1480</v>
      </c>
      <c r="DS73" t="s">
        <v>1481</v>
      </c>
      <c r="DT73" t="s">
        <v>1482</v>
      </c>
      <c r="DU73" t="s">
        <v>1476</v>
      </c>
      <c r="DV73" t="s">
        <v>1477</v>
      </c>
      <c r="DW73" t="s">
        <v>1483</v>
      </c>
      <c r="DX73">
        <v>5.7168597168597103E-2</v>
      </c>
      <c r="DY73">
        <v>107.58913770913701</v>
      </c>
      <c r="DZ73">
        <v>29.771604018359302</v>
      </c>
      <c r="EA73">
        <v>6.6580581768168203</v>
      </c>
      <c r="EB73">
        <v>2.0042752240976802</v>
      </c>
      <c r="EC73">
        <v>1.5536164736164699</v>
      </c>
      <c r="ED73">
        <v>6.0319901386217696</v>
      </c>
      <c r="EE73">
        <v>6.6580581768170504</v>
      </c>
      <c r="EF73">
        <v>215.17827541827501</v>
      </c>
      <c r="EG73">
        <v>61.897722582063402</v>
      </c>
      <c r="EH73">
        <v>0.29497258345713201</v>
      </c>
      <c r="EI73">
        <v>2.1127599303660899E-2</v>
      </c>
      <c r="EJ73">
        <v>8.4457142857142795</v>
      </c>
      <c r="EK73">
        <v>1.5536164736164699</v>
      </c>
      <c r="EL73">
        <v>0.56752142987667897</v>
      </c>
      <c r="EM73">
        <v>0.98447277814732603</v>
      </c>
      <c r="EN73">
        <v>0.52577254708655896</v>
      </c>
      <c r="EO73">
        <v>0.99909100141962603</v>
      </c>
      <c r="EP73">
        <v>0</v>
      </c>
      <c r="EQ73">
        <v>0.858158225527482</v>
      </c>
      <c r="ER73">
        <v>11600.9712998713</v>
      </c>
      <c r="ES73">
        <v>61.897722582063402</v>
      </c>
      <c r="ET73">
        <v>-3970.3030276638001</v>
      </c>
      <c r="EU73">
        <v>388546.85410015698</v>
      </c>
      <c r="EV73">
        <v>0.78721662152161997</v>
      </c>
      <c r="EW73">
        <v>2.5358199537108099</v>
      </c>
      <c r="EX73" s="2">
        <v>8.8518833567226903E-5</v>
      </c>
      <c r="EY73">
        <v>11562.002603585601</v>
      </c>
      <c r="EZ73" s="2">
        <v>7.0108090290578806E-5</v>
      </c>
      <c r="FA73">
        <v>9089.9620904921994</v>
      </c>
      <c r="FB73" s="2">
        <v>2.2155061261625199E-4</v>
      </c>
      <c r="FC73">
        <v>29361.651988288198</v>
      </c>
      <c r="FD73">
        <v>622.98198354483895</v>
      </c>
      <c r="FE73">
        <v>4111.0949910453</v>
      </c>
      <c r="FF73">
        <v>0.72081938951424795</v>
      </c>
      <c r="FG73">
        <v>1.4737862580787599E-3</v>
      </c>
      <c r="FH73">
        <v>9.8356579274234898E-3</v>
      </c>
      <c r="FI73">
        <v>4.4631794710882002E-2</v>
      </c>
      <c r="FJ73">
        <v>3420.93712604656</v>
      </c>
      <c r="FK73">
        <v>17.4104628233817</v>
      </c>
      <c r="FL73">
        <v>0.56265672729507399</v>
      </c>
      <c r="FM73">
        <v>65.202774813233702</v>
      </c>
      <c r="FN73" s="2">
        <v>9.1705328870311006E-5</v>
      </c>
      <c r="FO73">
        <v>11437.868729989301</v>
      </c>
      <c r="FP73" s="2">
        <v>5.3824212672622899E-5</v>
      </c>
      <c r="FQ73">
        <v>6314.9849308022003</v>
      </c>
      <c r="FR73">
        <v>5.7087526599088898E-3</v>
      </c>
      <c r="FS73">
        <v>746477.36286019196</v>
      </c>
      <c r="FT73">
        <v>173.26538598363501</v>
      </c>
      <c r="FU73">
        <v>6.1638344355615597E-2</v>
      </c>
      <c r="FV73">
        <v>839.66951262895702</v>
      </c>
      <c r="FW73">
        <v>0.29870847123050698</v>
      </c>
      <c r="FX73">
        <v>0.28506236689990799</v>
      </c>
      <c r="FY73">
        <v>87.926390972295707</v>
      </c>
      <c r="FZ73">
        <v>52.896680862308301</v>
      </c>
      <c r="GA73">
        <v>6.9936404303144002</v>
      </c>
    </row>
    <row r="74" spans="1:183" x14ac:dyDescent="0.2">
      <c r="A74" t="s">
        <v>2505</v>
      </c>
      <c r="B74" t="s">
        <v>182</v>
      </c>
      <c r="C74" t="s">
        <v>1484</v>
      </c>
      <c r="D74" s="1">
        <v>42899</v>
      </c>
      <c r="E74" t="s">
        <v>362</v>
      </c>
      <c r="F74" t="s">
        <v>185</v>
      </c>
      <c r="G74" t="s">
        <v>186</v>
      </c>
      <c r="H74">
        <v>1</v>
      </c>
      <c r="I74">
        <v>400</v>
      </c>
      <c r="J74">
        <v>10</v>
      </c>
      <c r="K74" t="s">
        <v>187</v>
      </c>
      <c r="L74" t="s">
        <v>1485</v>
      </c>
      <c r="M74">
        <v>5</v>
      </c>
      <c r="N74">
        <v>0.66015625</v>
      </c>
      <c r="O74">
        <v>0.66015625</v>
      </c>
      <c r="P74" t="s">
        <v>1486</v>
      </c>
      <c r="Q74">
        <v>0</v>
      </c>
      <c r="R74">
        <v>90</v>
      </c>
      <c r="T74">
        <v>20025.1167233784</v>
      </c>
      <c r="U74">
        <v>20221.4111328125</v>
      </c>
      <c r="V74">
        <v>9280</v>
      </c>
      <c r="W74">
        <v>9336.0304456894301</v>
      </c>
      <c r="X74">
        <v>0.466216031329795</v>
      </c>
      <c r="Y74">
        <v>45.047255085516802</v>
      </c>
      <c r="Z74">
        <v>1.2524394271675499E-2</v>
      </c>
      <c r="AA74">
        <v>5.5733421821634398E-2</v>
      </c>
      <c r="AB74">
        <v>2.6179505000474301</v>
      </c>
      <c r="AC74">
        <v>0.38197819247609099</v>
      </c>
      <c r="AD74">
        <v>1.6179505000474299</v>
      </c>
      <c r="AE74" t="s">
        <v>1487</v>
      </c>
      <c r="AF74" t="s">
        <v>1488</v>
      </c>
      <c r="AG74" t="s">
        <v>1489</v>
      </c>
      <c r="AH74" t="s">
        <v>193</v>
      </c>
      <c r="AI74" t="s">
        <v>193</v>
      </c>
      <c r="AJ74" t="s">
        <v>193</v>
      </c>
      <c r="AK74" t="s">
        <v>193</v>
      </c>
      <c r="AL74" t="s">
        <v>193</v>
      </c>
      <c r="AM74" t="s">
        <v>193</v>
      </c>
      <c r="AN74" t="s">
        <v>193</v>
      </c>
      <c r="AO74" t="s">
        <v>193</v>
      </c>
      <c r="AP74" t="s">
        <v>193</v>
      </c>
      <c r="AQ74">
        <v>2.99588527634427</v>
      </c>
      <c r="AR74" t="s">
        <v>193</v>
      </c>
      <c r="AS74" t="s">
        <v>193</v>
      </c>
      <c r="AT74">
        <v>85.413734172321497</v>
      </c>
      <c r="AU74" t="s">
        <v>193</v>
      </c>
      <c r="AV74">
        <v>1308896.00758974</v>
      </c>
      <c r="AW74">
        <v>65.362715517241398</v>
      </c>
      <c r="AX74">
        <v>3868.4313684880299</v>
      </c>
      <c r="AY74">
        <v>-3.9077170464920798</v>
      </c>
      <c r="AZ74">
        <v>34.585169447922098</v>
      </c>
      <c r="BA74">
        <v>65</v>
      </c>
      <c r="BB74">
        <v>-879</v>
      </c>
      <c r="BC74">
        <v>35</v>
      </c>
      <c r="BD74">
        <v>50</v>
      </c>
      <c r="BE74">
        <v>65</v>
      </c>
      <c r="BF74">
        <v>88</v>
      </c>
      <c r="BG74">
        <v>120</v>
      </c>
      <c r="BH74">
        <v>62.196715094030701</v>
      </c>
      <c r="BI74">
        <v>339</v>
      </c>
      <c r="BJ74">
        <v>38</v>
      </c>
      <c r="BK74">
        <v>1218</v>
      </c>
      <c r="BL74">
        <v>32.852958067032603</v>
      </c>
      <c r="BM74">
        <v>16.7526821045536</v>
      </c>
      <c r="BN74">
        <v>32.852801724137898</v>
      </c>
      <c r="BO74">
        <v>0.95156259347310002</v>
      </c>
      <c r="BP74">
        <v>0.27536231884057899</v>
      </c>
      <c r="BQ74" t="s">
        <v>194</v>
      </c>
      <c r="BR74" s="2">
        <v>75545844</v>
      </c>
      <c r="BS74">
        <v>90.225916167561607</v>
      </c>
      <c r="BT74">
        <v>1321.7263432312</v>
      </c>
      <c r="BU74">
        <v>20221.4111328125</v>
      </c>
      <c r="BV74" t="s">
        <v>194</v>
      </c>
      <c r="BW74" t="s">
        <v>194</v>
      </c>
      <c r="BX74" t="s">
        <v>194</v>
      </c>
      <c r="BY74" t="s">
        <v>194</v>
      </c>
      <c r="BZ74" t="s">
        <v>194</v>
      </c>
      <c r="CA74" t="s">
        <v>1490</v>
      </c>
      <c r="CB74" t="s">
        <v>1491</v>
      </c>
      <c r="CC74" t="s">
        <v>1492</v>
      </c>
      <c r="CD74" t="s">
        <v>1493</v>
      </c>
      <c r="CE74" t="s">
        <v>1494</v>
      </c>
      <c r="CF74" t="s">
        <v>1495</v>
      </c>
      <c r="CG74" t="s">
        <v>1496</v>
      </c>
      <c r="CH74">
        <v>107.086099137931</v>
      </c>
      <c r="CI74">
        <v>38.725237800516297</v>
      </c>
      <c r="CJ74">
        <v>-3.8956569900844502</v>
      </c>
      <c r="CK74">
        <v>34.397140226437401</v>
      </c>
      <c r="CL74">
        <v>107</v>
      </c>
      <c r="CM74">
        <v>13</v>
      </c>
      <c r="CN74">
        <v>104</v>
      </c>
      <c r="CO74">
        <v>106</v>
      </c>
      <c r="CP74">
        <v>107</v>
      </c>
      <c r="CQ74">
        <v>109</v>
      </c>
      <c r="CR74">
        <v>113</v>
      </c>
      <c r="CS74">
        <v>6.2229605334210696</v>
      </c>
      <c r="CT74">
        <v>134</v>
      </c>
      <c r="CU74">
        <v>106</v>
      </c>
      <c r="CV74">
        <v>3</v>
      </c>
      <c r="CW74">
        <v>121</v>
      </c>
      <c r="CX74">
        <v>3.2813185800014102</v>
      </c>
      <c r="CY74">
        <v>1.8682262311314699</v>
      </c>
      <c r="CZ74">
        <v>3.2707974137931002</v>
      </c>
      <c r="DA74">
        <v>5.8111749176759701E-2</v>
      </c>
      <c r="DB74">
        <v>1.3953488372093001E-2</v>
      </c>
      <c r="DC74">
        <v>1.1941680797355001</v>
      </c>
      <c r="DD74">
        <v>3.96694049409105</v>
      </c>
      <c r="DE74">
        <v>1070.86099137932</v>
      </c>
      <c r="DF74">
        <v>9.5206297376634899E-2</v>
      </c>
      <c r="DG74">
        <v>3.20301409398636E-3</v>
      </c>
      <c r="DH74">
        <v>490</v>
      </c>
      <c r="DI74">
        <v>105</v>
      </c>
      <c r="DJ74">
        <v>-341</v>
      </c>
      <c r="DK74">
        <v>108</v>
      </c>
      <c r="DL74" t="s">
        <v>194</v>
      </c>
      <c r="DM74" t="s">
        <v>194</v>
      </c>
      <c r="DN74" t="s">
        <v>194</v>
      </c>
      <c r="DO74" t="s">
        <v>194</v>
      </c>
      <c r="DP74" t="s">
        <v>194</v>
      </c>
      <c r="DQ74" t="s">
        <v>1497</v>
      </c>
      <c r="DR74" t="s">
        <v>1498</v>
      </c>
      <c r="DS74" t="s">
        <v>1499</v>
      </c>
      <c r="DT74" t="s">
        <v>1500</v>
      </c>
      <c r="DU74" t="s">
        <v>1494</v>
      </c>
      <c r="DV74" t="s">
        <v>1495</v>
      </c>
      <c r="DW74" t="s">
        <v>1501</v>
      </c>
      <c r="DX74">
        <v>5.5529682491849898E-2</v>
      </c>
      <c r="DY74">
        <v>107.26464948086399</v>
      </c>
      <c r="DZ74">
        <v>32.971313417804097</v>
      </c>
      <c r="EA74">
        <v>6.7749273143006201</v>
      </c>
      <c r="EB74">
        <v>2.0394563400476802</v>
      </c>
      <c r="EC74">
        <v>1.6515628852423101</v>
      </c>
      <c r="ED74">
        <v>7.3601958287646596</v>
      </c>
      <c r="EE74">
        <v>6.7749273143007898</v>
      </c>
      <c r="EF74">
        <v>214.52929896172799</v>
      </c>
      <c r="EG74">
        <v>114.165178547548</v>
      </c>
      <c r="EH74">
        <v>6.7021725151492202</v>
      </c>
      <c r="EI74">
        <v>2.0470386039575E-2</v>
      </c>
      <c r="EJ74">
        <v>10.0878557926745</v>
      </c>
      <c r="EK74">
        <v>1.6515628852423101</v>
      </c>
      <c r="EL74">
        <v>0.55927150076383503</v>
      </c>
      <c r="EM74">
        <v>0.98706570839818297</v>
      </c>
      <c r="EN74">
        <v>0.51574627964528896</v>
      </c>
      <c r="EO74">
        <v>0.99934061259609697</v>
      </c>
      <c r="EP74" s="2">
        <v>1.04193881959137E-7</v>
      </c>
      <c r="EQ74">
        <v>0.84702071669326795</v>
      </c>
      <c r="ER74">
        <v>11533.632413774199</v>
      </c>
      <c r="ES74">
        <v>114.165178547548</v>
      </c>
      <c r="ET74">
        <v>-4517.3686133791598</v>
      </c>
      <c r="EU74">
        <v>499899.10426634701</v>
      </c>
      <c r="EV74">
        <v>0.79289021407556004</v>
      </c>
      <c r="EW74">
        <v>2.4836704922353499</v>
      </c>
      <c r="EX74" s="2">
        <v>9.0530332881144906E-5</v>
      </c>
      <c r="EY74">
        <v>11482.127107875</v>
      </c>
      <c r="EZ74" s="2">
        <v>7.2574228995209595E-5</v>
      </c>
      <c r="FA74">
        <v>9081.7704496803108</v>
      </c>
      <c r="FB74" s="2">
        <v>2.19438411500017E-4</v>
      </c>
      <c r="FC74">
        <v>28622.0382936108</v>
      </c>
      <c r="FD74">
        <v>577.90718624791396</v>
      </c>
      <c r="FE74">
        <v>3968.6048311866998</v>
      </c>
      <c r="FF74">
        <v>0.72788254310344802</v>
      </c>
      <c r="FG74">
        <v>1.55850990371474E-3</v>
      </c>
      <c r="FH74">
        <v>1.05780797765376E-2</v>
      </c>
      <c r="FI74">
        <v>4.0372508436355897E-2</v>
      </c>
      <c r="FJ74">
        <v>4148.7862003008404</v>
      </c>
      <c r="FK74">
        <v>22.7032724749583</v>
      </c>
      <c r="FL74">
        <v>0.57694687597158201</v>
      </c>
      <c r="FM74">
        <v>57.853868194842399</v>
      </c>
      <c r="FN74" s="2">
        <v>9.6030758711035296E-5</v>
      </c>
      <c r="FO74">
        <v>11303.803724928301</v>
      </c>
      <c r="FP74" s="2">
        <v>5.9410836218198901E-5</v>
      </c>
      <c r="FQ74">
        <v>6359.3710476178803</v>
      </c>
      <c r="FR74">
        <v>5.10850545507208E-3</v>
      </c>
      <c r="FS74">
        <v>657330.33918338094</v>
      </c>
      <c r="FT74">
        <v>162.43409742120301</v>
      </c>
      <c r="FU74">
        <v>5.81784016551588E-2</v>
      </c>
      <c r="FV74">
        <v>870.65329512893902</v>
      </c>
      <c r="FW74">
        <v>0.31183857275391802</v>
      </c>
      <c r="FX74">
        <v>0.30086206896551698</v>
      </c>
      <c r="FY74">
        <v>95.1223430021101</v>
      </c>
      <c r="FZ74">
        <v>46.8063398494265</v>
      </c>
      <c r="GA74">
        <v>7.0190445509534198</v>
      </c>
    </row>
    <row r="75" spans="1:183" x14ac:dyDescent="0.2">
      <c r="A75" t="s">
        <v>2505</v>
      </c>
      <c r="B75" t="s">
        <v>182</v>
      </c>
      <c r="C75" t="s">
        <v>1484</v>
      </c>
      <c r="D75" s="1">
        <v>42899</v>
      </c>
      <c r="E75" t="s">
        <v>362</v>
      </c>
      <c r="F75" t="s">
        <v>185</v>
      </c>
      <c r="G75" t="s">
        <v>186</v>
      </c>
      <c r="H75">
        <v>1</v>
      </c>
      <c r="I75">
        <v>400</v>
      </c>
      <c r="J75">
        <v>10</v>
      </c>
      <c r="K75" t="s">
        <v>187</v>
      </c>
      <c r="L75" t="s">
        <v>1502</v>
      </c>
      <c r="M75">
        <v>5</v>
      </c>
      <c r="N75">
        <v>0.66015625</v>
      </c>
      <c r="O75">
        <v>0.66015625</v>
      </c>
      <c r="P75" t="s">
        <v>1503</v>
      </c>
      <c r="Q75">
        <v>0</v>
      </c>
      <c r="R75">
        <v>91</v>
      </c>
      <c r="T75">
        <v>18129.9041875203</v>
      </c>
      <c r="U75">
        <v>18325.653839111299</v>
      </c>
      <c r="V75">
        <v>8410</v>
      </c>
      <c r="W75">
        <v>8565.32173365782</v>
      </c>
      <c r="X75">
        <v>0.472441643654892</v>
      </c>
      <c r="Y75">
        <v>43.724012737232698</v>
      </c>
      <c r="Z75">
        <v>1.29034264750208E-2</v>
      </c>
      <c r="AA75">
        <v>5.9157845548115297E-2</v>
      </c>
      <c r="AB75">
        <v>2.5664287807181001</v>
      </c>
      <c r="AC75">
        <v>0.38964650315376798</v>
      </c>
      <c r="AD75">
        <v>1.5664287807181001</v>
      </c>
      <c r="AE75" t="s">
        <v>1504</v>
      </c>
      <c r="AF75" t="s">
        <v>1505</v>
      </c>
      <c r="AG75" t="s">
        <v>1506</v>
      </c>
      <c r="AH75" t="s">
        <v>193</v>
      </c>
      <c r="AI75" t="s">
        <v>193</v>
      </c>
      <c r="AJ75" t="s">
        <v>193</v>
      </c>
      <c r="AK75" t="s">
        <v>193</v>
      </c>
      <c r="AL75" t="s">
        <v>193</v>
      </c>
      <c r="AM75" t="s">
        <v>193</v>
      </c>
      <c r="AN75" t="s">
        <v>193</v>
      </c>
      <c r="AO75" t="s">
        <v>193</v>
      </c>
      <c r="AP75" t="s">
        <v>193</v>
      </c>
      <c r="AQ75">
        <v>0.41291942571733098</v>
      </c>
      <c r="AR75" t="s">
        <v>193</v>
      </c>
      <c r="AS75" t="s">
        <v>193</v>
      </c>
      <c r="AT75">
        <v>84.776352737780002</v>
      </c>
      <c r="AU75" t="s">
        <v>193</v>
      </c>
      <c r="AV75">
        <v>1130570.90865823</v>
      </c>
      <c r="AW75">
        <v>62.359453032104398</v>
      </c>
      <c r="AX75">
        <v>4660.3039683096104</v>
      </c>
      <c r="AY75">
        <v>-3.8644335028214098</v>
      </c>
      <c r="AZ75">
        <v>26.4607790056982</v>
      </c>
      <c r="BA75">
        <v>63</v>
      </c>
      <c r="BB75">
        <v>-664</v>
      </c>
      <c r="BC75">
        <v>35</v>
      </c>
      <c r="BD75">
        <v>49</v>
      </c>
      <c r="BE75">
        <v>63</v>
      </c>
      <c r="BF75">
        <v>83</v>
      </c>
      <c r="BG75">
        <v>116</v>
      </c>
      <c r="BH75">
        <v>68.266419038276894</v>
      </c>
      <c r="BI75">
        <v>280</v>
      </c>
      <c r="BJ75">
        <v>34</v>
      </c>
      <c r="BK75">
        <v>944</v>
      </c>
      <c r="BL75">
        <v>33.638482074309699</v>
      </c>
      <c r="BM75">
        <v>15.0384003408723</v>
      </c>
      <c r="BN75">
        <v>33.617003567181897</v>
      </c>
      <c r="BO75">
        <v>1.0947244678867101</v>
      </c>
      <c r="BP75">
        <v>0.25757575757575701</v>
      </c>
      <c r="BQ75" t="s">
        <v>194</v>
      </c>
      <c r="BR75" s="2">
        <v>71897135</v>
      </c>
      <c r="BS75">
        <v>92.460831441064201</v>
      </c>
      <c r="BT75">
        <v>1142.7777498626599</v>
      </c>
      <c r="BU75">
        <v>12217.1025594075</v>
      </c>
      <c r="BV75" t="s">
        <v>194</v>
      </c>
      <c r="BW75" t="s">
        <v>194</v>
      </c>
      <c r="BX75" t="s">
        <v>194</v>
      </c>
      <c r="BY75" t="s">
        <v>194</v>
      </c>
      <c r="BZ75" t="s">
        <v>194</v>
      </c>
      <c r="CA75" t="s">
        <v>1507</v>
      </c>
      <c r="CB75" t="s">
        <v>1508</v>
      </c>
      <c r="CC75" t="s">
        <v>1509</v>
      </c>
      <c r="CD75" t="s">
        <v>1510</v>
      </c>
      <c r="CE75" t="s">
        <v>1511</v>
      </c>
      <c r="CF75" t="s">
        <v>1512</v>
      </c>
      <c r="CG75" t="s">
        <v>1513</v>
      </c>
      <c r="CH75">
        <v>106.787277051129</v>
      </c>
      <c r="CI75">
        <v>46.6392911586764</v>
      </c>
      <c r="CJ75">
        <v>-3.85807257868181</v>
      </c>
      <c r="CK75">
        <v>26.415726553904801</v>
      </c>
      <c r="CL75">
        <v>107</v>
      </c>
      <c r="CM75">
        <v>34</v>
      </c>
      <c r="CN75">
        <v>104</v>
      </c>
      <c r="CO75">
        <v>105</v>
      </c>
      <c r="CP75">
        <v>107</v>
      </c>
      <c r="CQ75">
        <v>109</v>
      </c>
      <c r="CR75">
        <v>112</v>
      </c>
      <c r="CS75">
        <v>6.8292965346861596</v>
      </c>
      <c r="CT75">
        <v>129</v>
      </c>
      <c r="CU75">
        <v>106</v>
      </c>
      <c r="CV75">
        <v>4</v>
      </c>
      <c r="CW75">
        <v>95</v>
      </c>
      <c r="CX75">
        <v>3.3728101277992399</v>
      </c>
      <c r="CY75">
        <v>1.56627514105335</v>
      </c>
      <c r="CZ75">
        <v>3.3435196195005901</v>
      </c>
      <c r="DA75">
        <v>6.3952342669214304E-2</v>
      </c>
      <c r="DB75">
        <v>1.86915887850467E-2</v>
      </c>
      <c r="DC75">
        <v>1.1815576543391799</v>
      </c>
      <c r="DD75">
        <v>3.9250495676785402</v>
      </c>
      <c r="DE75">
        <v>1067.8727705112899</v>
      </c>
      <c r="DF75">
        <v>0.10328819804292701</v>
      </c>
      <c r="DG75">
        <v>3.5045103949842399E-3</v>
      </c>
      <c r="DH75">
        <v>505</v>
      </c>
      <c r="DI75">
        <v>105</v>
      </c>
      <c r="DJ75">
        <v>-356</v>
      </c>
      <c r="DK75">
        <v>108</v>
      </c>
      <c r="DL75" t="s">
        <v>194</v>
      </c>
      <c r="DM75" t="s">
        <v>194</v>
      </c>
      <c r="DN75" t="s">
        <v>194</v>
      </c>
      <c r="DO75" t="s">
        <v>194</v>
      </c>
      <c r="DP75" t="s">
        <v>194</v>
      </c>
      <c r="DQ75" t="s">
        <v>1514</v>
      </c>
      <c r="DR75" t="s">
        <v>1515</v>
      </c>
      <c r="DS75" t="s">
        <v>1516</v>
      </c>
      <c r="DT75" t="s">
        <v>1517</v>
      </c>
      <c r="DU75" t="s">
        <v>1511</v>
      </c>
      <c r="DV75" t="s">
        <v>1512</v>
      </c>
      <c r="DW75" t="s">
        <v>1518</v>
      </c>
      <c r="DX75">
        <v>6.52779459852246E-2</v>
      </c>
      <c r="DY75">
        <v>107.015486859634</v>
      </c>
      <c r="DZ75">
        <v>37.8896868860148</v>
      </c>
      <c r="EA75">
        <v>6.6169984449965398</v>
      </c>
      <c r="EB75">
        <v>1.99191501320588</v>
      </c>
      <c r="EC75">
        <v>1.6111481167494199</v>
      </c>
      <c r="ED75">
        <v>7.9164035140914297</v>
      </c>
      <c r="EE75">
        <v>6.6169984449963204</v>
      </c>
      <c r="EF75">
        <v>214.03097371926799</v>
      </c>
      <c r="EG75">
        <v>88.125488206279599</v>
      </c>
      <c r="EH75">
        <v>0.41754652983540402</v>
      </c>
      <c r="EI75">
        <v>2.3929404682729999E-2</v>
      </c>
      <c r="EJ75">
        <v>10.512201768196601</v>
      </c>
      <c r="EK75">
        <v>1.6111481167494199</v>
      </c>
      <c r="EL75">
        <v>0.57317923528621395</v>
      </c>
      <c r="EM75">
        <v>0.984203612625414</v>
      </c>
      <c r="EN75">
        <v>0.53312526950390704</v>
      </c>
      <c r="EO75">
        <v>0.99890176271595499</v>
      </c>
      <c r="EP75" s="2">
        <v>3.4386486625279401E-8</v>
      </c>
      <c r="EQ75">
        <v>0.86127885142174498</v>
      </c>
      <c r="ER75">
        <v>11484.948013806399</v>
      </c>
      <c r="ES75">
        <v>88.125488206279599</v>
      </c>
      <c r="ET75">
        <v>-5737.1466583028096</v>
      </c>
      <c r="EU75">
        <v>560255.23815530003</v>
      </c>
      <c r="EV75">
        <v>0.78057860659632206</v>
      </c>
      <c r="EW75">
        <v>2.61932577416224</v>
      </c>
      <c r="EX75" s="2">
        <v>9.0706524674001194E-5</v>
      </c>
      <c r="EY75">
        <v>11413.7931701981</v>
      </c>
      <c r="EZ75" s="2">
        <v>7.1631067723242303E-5</v>
      </c>
      <c r="FA75">
        <v>8877.5381928133593</v>
      </c>
      <c r="FB75" s="2">
        <v>2.3179343100455799E-4</v>
      </c>
      <c r="FC75">
        <v>30072.549493566199</v>
      </c>
      <c r="FD75">
        <v>550.19614475506899</v>
      </c>
      <c r="FE75">
        <v>3408.1214288084202</v>
      </c>
      <c r="FF75">
        <v>0.71260404280618295</v>
      </c>
      <c r="FG75">
        <v>1.7224671187765E-3</v>
      </c>
      <c r="FH75">
        <v>1.1613838393793499E-2</v>
      </c>
      <c r="FI75">
        <v>3.5553212203706698E-2</v>
      </c>
      <c r="FJ75">
        <v>4002.2879077150101</v>
      </c>
      <c r="FK75">
        <v>26.058824408388698</v>
      </c>
      <c r="FL75">
        <v>0.55860788089976499</v>
      </c>
      <c r="FM75">
        <v>58.712340425531899</v>
      </c>
      <c r="FN75" s="2">
        <v>9.6603600519182595E-5</v>
      </c>
      <c r="FO75">
        <v>11159.6263829787</v>
      </c>
      <c r="FP75" s="2">
        <v>5.8267906300232402E-5</v>
      </c>
      <c r="FQ75">
        <v>6013.7682543382798</v>
      </c>
      <c r="FR75">
        <v>5.1741599784865004E-3</v>
      </c>
      <c r="FS75">
        <v>668371.21404255298</v>
      </c>
      <c r="FT75">
        <v>136.78042553191401</v>
      </c>
      <c r="FU75">
        <v>5.8204436396559499E-2</v>
      </c>
      <c r="FV75">
        <v>688.58042553191399</v>
      </c>
      <c r="FW75">
        <v>0.29301294703485697</v>
      </c>
      <c r="FX75">
        <v>0.27942925089179499</v>
      </c>
      <c r="FY75">
        <v>126.582363060208</v>
      </c>
      <c r="FZ75">
        <v>45.905079221367103</v>
      </c>
      <c r="GA75">
        <v>7.17283158337138</v>
      </c>
    </row>
    <row r="76" spans="1:183" x14ac:dyDescent="0.2">
      <c r="A76" t="s">
        <v>2505</v>
      </c>
      <c r="B76" t="s">
        <v>182</v>
      </c>
      <c r="C76" t="s">
        <v>1484</v>
      </c>
      <c r="D76" s="1">
        <v>42899</v>
      </c>
      <c r="E76" t="s">
        <v>362</v>
      </c>
      <c r="F76" t="s">
        <v>185</v>
      </c>
      <c r="G76" t="s">
        <v>186</v>
      </c>
      <c r="H76">
        <v>1</v>
      </c>
      <c r="I76">
        <v>400</v>
      </c>
      <c r="J76">
        <v>10</v>
      </c>
      <c r="K76" t="s">
        <v>187</v>
      </c>
      <c r="L76" t="s">
        <v>1519</v>
      </c>
      <c r="M76">
        <v>5</v>
      </c>
      <c r="N76">
        <v>0.66015625</v>
      </c>
      <c r="O76">
        <v>0.66015625</v>
      </c>
      <c r="P76" t="s">
        <v>1520</v>
      </c>
      <c r="Q76">
        <v>0</v>
      </c>
      <c r="R76">
        <v>92</v>
      </c>
      <c r="T76">
        <v>16771.2781270345</v>
      </c>
      <c r="U76">
        <v>16968.117294311502</v>
      </c>
      <c r="V76">
        <v>7787</v>
      </c>
      <c r="W76">
        <v>8022.6588292195202</v>
      </c>
      <c r="X76">
        <v>0.47835703209091601</v>
      </c>
      <c r="Y76">
        <v>42.846102716614503</v>
      </c>
      <c r="Z76">
        <v>1.31678156886128E-2</v>
      </c>
      <c r="AA76">
        <v>6.1606952227961802E-2</v>
      </c>
      <c r="AB76">
        <v>2.5319595230302001</v>
      </c>
      <c r="AC76">
        <v>0.39495102149311401</v>
      </c>
      <c r="AD76">
        <v>1.5319595230302001</v>
      </c>
      <c r="AE76" t="s">
        <v>1521</v>
      </c>
      <c r="AF76" t="s">
        <v>1522</v>
      </c>
      <c r="AG76" t="s">
        <v>1523</v>
      </c>
      <c r="AH76" t="s">
        <v>193</v>
      </c>
      <c r="AI76" t="s">
        <v>193</v>
      </c>
      <c r="AJ76" t="s">
        <v>193</v>
      </c>
      <c r="AK76" t="s">
        <v>193</v>
      </c>
      <c r="AL76" t="s">
        <v>193</v>
      </c>
      <c r="AM76" t="s">
        <v>193</v>
      </c>
      <c r="AN76" t="s">
        <v>193</v>
      </c>
      <c r="AO76" t="s">
        <v>193</v>
      </c>
      <c r="AP76" t="s">
        <v>193</v>
      </c>
      <c r="AQ76">
        <v>0.50234279248923397</v>
      </c>
      <c r="AR76" t="s">
        <v>193</v>
      </c>
      <c r="AS76" t="s">
        <v>193</v>
      </c>
      <c r="AT76">
        <v>84.557653588516203</v>
      </c>
      <c r="AU76" t="s">
        <v>193</v>
      </c>
      <c r="AV76">
        <v>1037656.8754108</v>
      </c>
      <c r="AW76">
        <v>61.871067163220303</v>
      </c>
      <c r="AX76">
        <v>4451.9186530668903</v>
      </c>
      <c r="AY76">
        <v>-4.15001379047309</v>
      </c>
      <c r="AZ76">
        <v>28.466253818624899</v>
      </c>
      <c r="BA76">
        <v>66</v>
      </c>
      <c r="BB76">
        <v>-700</v>
      </c>
      <c r="BC76">
        <v>31</v>
      </c>
      <c r="BD76">
        <v>50</v>
      </c>
      <c r="BE76">
        <v>66</v>
      </c>
      <c r="BF76">
        <v>86</v>
      </c>
      <c r="BG76">
        <v>112</v>
      </c>
      <c r="BH76">
        <v>66.722699683592595</v>
      </c>
      <c r="BI76">
        <v>249</v>
      </c>
      <c r="BJ76">
        <v>36</v>
      </c>
      <c r="BK76">
        <v>949</v>
      </c>
      <c r="BL76">
        <v>33.6641587137469</v>
      </c>
      <c r="BM76">
        <v>15.5693258604717</v>
      </c>
      <c r="BN76">
        <v>33.451907024527998</v>
      </c>
      <c r="BO76">
        <v>1.0784152067003001</v>
      </c>
      <c r="BP76">
        <v>0.26470588235294101</v>
      </c>
      <c r="BQ76" t="s">
        <v>194</v>
      </c>
      <c r="BR76" s="2">
        <v>64475952</v>
      </c>
      <c r="BS76">
        <v>90.994217426068602</v>
      </c>
      <c r="BT76">
        <v>1049.83552474974</v>
      </c>
      <c r="BU76">
        <v>11312.0781962076</v>
      </c>
      <c r="BV76" t="s">
        <v>194</v>
      </c>
      <c r="BW76" t="s">
        <v>194</v>
      </c>
      <c r="BX76" t="s">
        <v>194</v>
      </c>
      <c r="BY76" t="s">
        <v>194</v>
      </c>
      <c r="BZ76" t="s">
        <v>194</v>
      </c>
      <c r="CA76" t="s">
        <v>1524</v>
      </c>
      <c r="CB76" t="s">
        <v>1525</v>
      </c>
      <c r="CC76" t="s">
        <v>1526</v>
      </c>
      <c r="CD76" t="s">
        <v>1527</v>
      </c>
      <c r="CE76" t="s">
        <v>1528</v>
      </c>
      <c r="CF76" t="s">
        <v>1529</v>
      </c>
      <c r="CG76" t="s">
        <v>1530</v>
      </c>
      <c r="CH76">
        <v>106.740464877359</v>
      </c>
      <c r="CI76">
        <v>44.652430912693603</v>
      </c>
      <c r="CJ76">
        <v>-4.1380754728411002</v>
      </c>
      <c r="CK76">
        <v>28.3401915201229</v>
      </c>
      <c r="CL76">
        <v>107</v>
      </c>
      <c r="CM76">
        <v>31</v>
      </c>
      <c r="CN76">
        <v>104</v>
      </c>
      <c r="CO76">
        <v>106</v>
      </c>
      <c r="CP76">
        <v>107</v>
      </c>
      <c r="CQ76">
        <v>109</v>
      </c>
      <c r="CR76">
        <v>112</v>
      </c>
      <c r="CS76">
        <v>6.6822474447369604</v>
      </c>
      <c r="CT76">
        <v>125</v>
      </c>
      <c r="CU76">
        <v>106</v>
      </c>
      <c r="CV76">
        <v>3</v>
      </c>
      <c r="CW76">
        <v>94</v>
      </c>
      <c r="CX76">
        <v>3.3871539512211202</v>
      </c>
      <c r="CY76">
        <v>1.67111421586092</v>
      </c>
      <c r="CZ76">
        <v>3.3346603313214298</v>
      </c>
      <c r="DA76">
        <v>6.2602757561666694E-2</v>
      </c>
      <c r="DB76">
        <v>1.3953488372093001E-2</v>
      </c>
      <c r="DC76">
        <v>1.1971598499411999</v>
      </c>
      <c r="DD76">
        <v>3.97687893959082</v>
      </c>
      <c r="DE76">
        <v>1067.40464877359</v>
      </c>
      <c r="DF76">
        <v>9.6449550771241302E-2</v>
      </c>
      <c r="DG76">
        <v>3.5193707258254301E-3</v>
      </c>
      <c r="DH76">
        <v>453</v>
      </c>
      <c r="DI76">
        <v>105</v>
      </c>
      <c r="DJ76">
        <v>-257</v>
      </c>
      <c r="DK76">
        <v>108</v>
      </c>
      <c r="DL76" t="s">
        <v>194</v>
      </c>
      <c r="DM76" t="s">
        <v>194</v>
      </c>
      <c r="DN76" t="s">
        <v>194</v>
      </c>
      <c r="DO76" t="s">
        <v>194</v>
      </c>
      <c r="DP76" t="s">
        <v>194</v>
      </c>
      <c r="DQ76" t="s">
        <v>1531</v>
      </c>
      <c r="DR76" t="s">
        <v>1532</v>
      </c>
      <c r="DS76" t="s">
        <v>1533</v>
      </c>
      <c r="DT76" t="s">
        <v>1534</v>
      </c>
      <c r="DU76" t="s">
        <v>1528</v>
      </c>
      <c r="DV76" t="s">
        <v>1529</v>
      </c>
      <c r="DW76" t="s">
        <v>1535</v>
      </c>
      <c r="DX76">
        <v>6.00930049777312E-2</v>
      </c>
      <c r="DY76">
        <v>106.96127521613801</v>
      </c>
      <c r="DZ76">
        <v>37.412028685586797</v>
      </c>
      <c r="EA76">
        <v>6.73941097414128</v>
      </c>
      <c r="EB76">
        <v>2.0287648563235301</v>
      </c>
      <c r="EC76">
        <v>1.63606890227927</v>
      </c>
      <c r="ED76">
        <v>7.1784331186478196</v>
      </c>
      <c r="EE76">
        <v>6.7394109741413599</v>
      </c>
      <c r="EF76">
        <v>213.92255043227601</v>
      </c>
      <c r="EG76">
        <v>92.3710817964797</v>
      </c>
      <c r="EH76">
        <v>0.42638940071973203</v>
      </c>
      <c r="EI76">
        <v>2.1206411434539701E-2</v>
      </c>
      <c r="EJ76">
        <v>9.8551545716531201</v>
      </c>
      <c r="EK76">
        <v>1.63606890227927</v>
      </c>
      <c r="EL76">
        <v>0.56297542391479205</v>
      </c>
      <c r="EM76">
        <v>0.983735652684396</v>
      </c>
      <c r="EN76">
        <v>0.520561842616167</v>
      </c>
      <c r="EO76">
        <v>0.99894062352195101</v>
      </c>
      <c r="EP76">
        <v>0</v>
      </c>
      <c r="EQ76">
        <v>0.86828895788469196</v>
      </c>
      <c r="ER76">
        <v>11473.1988472622</v>
      </c>
      <c r="ES76">
        <v>92.3710817964797</v>
      </c>
      <c r="ET76">
        <v>-6585.0068038147101</v>
      </c>
      <c r="EU76">
        <v>632148.96613061801</v>
      </c>
      <c r="EV76">
        <v>0.79245206994406703</v>
      </c>
      <c r="EW76">
        <v>2.50434414604723</v>
      </c>
      <c r="EX76" s="2">
        <v>9.0710945588385903E-5</v>
      </c>
      <c r="EY76">
        <v>11398.399502759599</v>
      </c>
      <c r="EZ76" s="2">
        <v>7.26436218202127E-5</v>
      </c>
      <c r="FA76">
        <v>9000.1369350702098</v>
      </c>
      <c r="FB76" s="2">
        <v>2.2170227138676701E-4</v>
      </c>
      <c r="FC76">
        <v>28746.733635157401</v>
      </c>
      <c r="FD76">
        <v>487.67289865973402</v>
      </c>
      <c r="FE76">
        <v>3311.2614715926402</v>
      </c>
      <c r="FF76">
        <v>0.72569667394375204</v>
      </c>
      <c r="FG76">
        <v>1.8846215654726201E-3</v>
      </c>
      <c r="FH76">
        <v>1.3674085068706701E-2</v>
      </c>
      <c r="FI76">
        <v>3.5874646594448001E-2</v>
      </c>
      <c r="FJ76">
        <v>3750.8782814874498</v>
      </c>
      <c r="FK76">
        <v>24.673278380564501</v>
      </c>
      <c r="FL76">
        <v>0.58473162252119304</v>
      </c>
      <c r="FM76">
        <v>48.255053763440799</v>
      </c>
      <c r="FN76" s="2">
        <v>9.5901352370700004E-5</v>
      </c>
      <c r="FO76">
        <v>11154.44</v>
      </c>
      <c r="FP76" s="2">
        <v>5.94158702463724E-5</v>
      </c>
      <c r="FQ76">
        <v>6344.3827997663502</v>
      </c>
      <c r="FR76">
        <v>4.2360737539341798E-3</v>
      </c>
      <c r="FS76">
        <v>551622.20559139701</v>
      </c>
      <c r="FT76">
        <v>134.15010752688099</v>
      </c>
      <c r="FU76">
        <v>5.7698970979303897E-2</v>
      </c>
      <c r="FV76">
        <v>742.06580645161296</v>
      </c>
      <c r="FW76">
        <v>0.31916808879639202</v>
      </c>
      <c r="FX76">
        <v>0.29857454732246003</v>
      </c>
      <c r="FY76">
        <v>111.18729027633201</v>
      </c>
      <c r="FZ76">
        <v>37.037596207653998</v>
      </c>
      <c r="GA76">
        <v>7.0316160184138496</v>
      </c>
    </row>
    <row r="77" spans="1:183" x14ac:dyDescent="0.2">
      <c r="A77" t="s">
        <v>2505</v>
      </c>
      <c r="B77" t="s">
        <v>182</v>
      </c>
      <c r="C77" t="s">
        <v>1536</v>
      </c>
      <c r="D77" s="1">
        <v>42899</v>
      </c>
      <c r="E77" t="s">
        <v>362</v>
      </c>
      <c r="F77" t="s">
        <v>185</v>
      </c>
      <c r="G77" t="s">
        <v>186</v>
      </c>
      <c r="H77">
        <v>1</v>
      </c>
      <c r="I77">
        <v>400</v>
      </c>
      <c r="J77">
        <v>10</v>
      </c>
      <c r="K77" t="s">
        <v>187</v>
      </c>
      <c r="L77" t="s">
        <v>1537</v>
      </c>
      <c r="M77">
        <v>5</v>
      </c>
      <c r="N77">
        <v>0.66015625</v>
      </c>
      <c r="O77">
        <v>0.66015625</v>
      </c>
      <c r="P77" t="s">
        <v>1538</v>
      </c>
      <c r="Q77">
        <v>0</v>
      </c>
      <c r="R77">
        <v>93</v>
      </c>
      <c r="T77">
        <v>11478.4109242757</v>
      </c>
      <c r="U77">
        <v>11629.4904327392</v>
      </c>
      <c r="V77">
        <v>5337</v>
      </c>
      <c r="W77">
        <v>5587.0709027869198</v>
      </c>
      <c r="X77">
        <v>0.48674602605233502</v>
      </c>
      <c r="Y77">
        <v>36.3826648570898</v>
      </c>
      <c r="Z77">
        <v>1.55070989374714E-2</v>
      </c>
      <c r="AA77">
        <v>8.5440417464858906E-2</v>
      </c>
      <c r="AB77">
        <v>2.2704514141326002</v>
      </c>
      <c r="AC77">
        <v>0.44044104787947402</v>
      </c>
      <c r="AD77">
        <v>1.2704514141326</v>
      </c>
      <c r="AE77" t="s">
        <v>1539</v>
      </c>
      <c r="AF77" t="s">
        <v>1540</v>
      </c>
      <c r="AG77" t="s">
        <v>1541</v>
      </c>
      <c r="AH77" t="s">
        <v>193</v>
      </c>
      <c r="AI77" t="s">
        <v>193</v>
      </c>
      <c r="AJ77" t="s">
        <v>193</v>
      </c>
      <c r="AK77" t="s">
        <v>193</v>
      </c>
      <c r="AL77" t="s">
        <v>193</v>
      </c>
      <c r="AM77" t="s">
        <v>193</v>
      </c>
      <c r="AN77" t="s">
        <v>193</v>
      </c>
      <c r="AO77" t="s">
        <v>193</v>
      </c>
      <c r="AP77" t="s">
        <v>193</v>
      </c>
      <c r="AQ77">
        <v>0.699472992710643</v>
      </c>
      <c r="AR77" t="s">
        <v>193</v>
      </c>
      <c r="AS77" t="s">
        <v>193</v>
      </c>
      <c r="AT77">
        <v>65.740563067144805</v>
      </c>
      <c r="AU77" t="s">
        <v>193</v>
      </c>
      <c r="AV77">
        <v>748660.37240164902</v>
      </c>
      <c r="AW77">
        <v>65.223346449316097</v>
      </c>
      <c r="AX77">
        <v>3448.3923123538302</v>
      </c>
      <c r="AY77">
        <v>-3.39394617056309</v>
      </c>
      <c r="AZ77">
        <v>22.562548220858801</v>
      </c>
      <c r="BA77">
        <v>69</v>
      </c>
      <c r="BB77">
        <v>-557</v>
      </c>
      <c r="BC77">
        <v>36</v>
      </c>
      <c r="BD77">
        <v>53</v>
      </c>
      <c r="BE77">
        <v>69</v>
      </c>
      <c r="BF77">
        <v>86</v>
      </c>
      <c r="BG77">
        <v>112</v>
      </c>
      <c r="BH77">
        <v>58.723013481545898</v>
      </c>
      <c r="BI77">
        <v>258</v>
      </c>
      <c r="BJ77">
        <v>33</v>
      </c>
      <c r="BK77">
        <v>815</v>
      </c>
      <c r="BL77">
        <v>31.083118130315398</v>
      </c>
      <c r="BM77">
        <v>14.251889569160101</v>
      </c>
      <c r="BN77">
        <v>30.837174442570699</v>
      </c>
      <c r="BO77">
        <v>0.90033732824761703</v>
      </c>
      <c r="BP77">
        <v>0.23741007194244601</v>
      </c>
      <c r="BQ77" t="s">
        <v>194</v>
      </c>
      <c r="BR77" s="2">
        <v>41108121</v>
      </c>
      <c r="BS77">
        <v>87.763758091830496</v>
      </c>
      <c r="BT77">
        <v>758.51428352355902</v>
      </c>
      <c r="BU77">
        <v>7752.9936218261701</v>
      </c>
      <c r="BV77" t="s">
        <v>194</v>
      </c>
      <c r="BW77" t="s">
        <v>194</v>
      </c>
      <c r="BX77" t="s">
        <v>194</v>
      </c>
      <c r="BY77" t="s">
        <v>194</v>
      </c>
      <c r="BZ77" t="s">
        <v>194</v>
      </c>
      <c r="CA77" t="s">
        <v>1542</v>
      </c>
      <c r="CB77" t="s">
        <v>1543</v>
      </c>
      <c r="CC77" t="s">
        <v>1544</v>
      </c>
      <c r="CD77" t="s">
        <v>1545</v>
      </c>
      <c r="CE77" t="s">
        <v>1546</v>
      </c>
      <c r="CF77" t="s">
        <v>1547</v>
      </c>
      <c r="CG77" t="s">
        <v>1548</v>
      </c>
      <c r="CH77">
        <v>107.07494847292401</v>
      </c>
      <c r="CI77">
        <v>34.557995242801098</v>
      </c>
      <c r="CJ77">
        <v>-3.38396439968963</v>
      </c>
      <c r="CK77">
        <v>22.429974067941298</v>
      </c>
      <c r="CL77">
        <v>107</v>
      </c>
      <c r="CM77">
        <v>45</v>
      </c>
      <c r="CN77">
        <v>104</v>
      </c>
      <c r="CO77">
        <v>106</v>
      </c>
      <c r="CP77">
        <v>107</v>
      </c>
      <c r="CQ77">
        <v>109</v>
      </c>
      <c r="CR77">
        <v>112</v>
      </c>
      <c r="CS77">
        <v>5.8786048721445097</v>
      </c>
      <c r="CT77">
        <v>126</v>
      </c>
      <c r="CU77">
        <v>107</v>
      </c>
      <c r="CV77">
        <v>3</v>
      </c>
      <c r="CW77">
        <v>81</v>
      </c>
      <c r="CX77">
        <v>3.1047722285083301</v>
      </c>
      <c r="CY77">
        <v>1.5689560530306399</v>
      </c>
      <c r="CZ77">
        <v>3.1032415214540001</v>
      </c>
      <c r="DA77">
        <v>5.4901776335021801E-2</v>
      </c>
      <c r="DB77">
        <v>1.3953488372093001E-2</v>
      </c>
      <c r="DC77">
        <v>1.16893661009119</v>
      </c>
      <c r="DD77">
        <v>3.8831233662043401</v>
      </c>
      <c r="DE77">
        <v>1070.7494847292701</v>
      </c>
      <c r="DF77">
        <v>0.10316365199880601</v>
      </c>
      <c r="DG77">
        <v>4.3965776971022202E-3</v>
      </c>
      <c r="DH77">
        <v>254</v>
      </c>
      <c r="DI77">
        <v>105</v>
      </c>
      <c r="DJ77">
        <v>-240.5</v>
      </c>
      <c r="DK77">
        <v>109</v>
      </c>
      <c r="DL77" t="s">
        <v>194</v>
      </c>
      <c r="DM77" t="s">
        <v>194</v>
      </c>
      <c r="DN77" t="s">
        <v>194</v>
      </c>
      <c r="DO77" t="s">
        <v>194</v>
      </c>
      <c r="DP77" t="s">
        <v>194</v>
      </c>
      <c r="DQ77" t="s">
        <v>1549</v>
      </c>
      <c r="DR77" t="s">
        <v>1550</v>
      </c>
      <c r="DS77" t="s">
        <v>1551</v>
      </c>
      <c r="DT77" t="s">
        <v>1552</v>
      </c>
      <c r="DU77" t="s">
        <v>1546</v>
      </c>
      <c r="DV77" t="s">
        <v>1547</v>
      </c>
      <c r="DW77" t="s">
        <v>1553</v>
      </c>
      <c r="DX77">
        <v>5.9429173450818801E-2</v>
      </c>
      <c r="DY77">
        <v>107.292261277655</v>
      </c>
      <c r="DZ77">
        <v>28.8839828283913</v>
      </c>
      <c r="EA77">
        <v>6.6346188397515897</v>
      </c>
      <c r="EB77">
        <v>1.9972192805625899</v>
      </c>
      <c r="EC77">
        <v>1.65003352169332</v>
      </c>
      <c r="ED77">
        <v>6.9604657109728096</v>
      </c>
      <c r="EE77">
        <v>6.6346188397516901</v>
      </c>
      <c r="EF77">
        <v>214.58452255531</v>
      </c>
      <c r="EG77">
        <v>36.432007941906903</v>
      </c>
      <c r="EH77">
        <v>0.105278535306514</v>
      </c>
      <c r="EI77">
        <v>2.2134672869744701E-2</v>
      </c>
      <c r="EJ77">
        <v>9.6830763336845092</v>
      </c>
      <c r="EK77">
        <v>1.65003352169332</v>
      </c>
      <c r="EL77">
        <v>0.55940425114794401</v>
      </c>
      <c r="EM77">
        <v>0.98112404533238495</v>
      </c>
      <c r="EN77">
        <v>0.51612346539613696</v>
      </c>
      <c r="EO77">
        <v>0.99861393910065499</v>
      </c>
      <c r="EP77">
        <v>0</v>
      </c>
      <c r="EQ77">
        <v>0.83237982810032696</v>
      </c>
      <c r="ER77">
        <v>11535.671774734201</v>
      </c>
      <c r="ES77">
        <v>36.432007941906903</v>
      </c>
      <c r="ET77">
        <v>-3335.30113142356</v>
      </c>
      <c r="EU77">
        <v>284014.29402386502</v>
      </c>
      <c r="EV77">
        <v>0.79123251100067205</v>
      </c>
      <c r="EW77">
        <v>2.4486163513559598</v>
      </c>
      <c r="EX77" s="2">
        <v>8.9178599192432398E-5</v>
      </c>
      <c r="EY77">
        <v>11454.0818815618</v>
      </c>
      <c r="EZ77" s="2">
        <v>7.1163137629607604E-5</v>
      </c>
      <c r="FA77">
        <v>9025.3572744143294</v>
      </c>
      <c r="FB77" s="2">
        <v>2.1431120996779599E-4</v>
      </c>
      <c r="FC77">
        <v>28275.561941923799</v>
      </c>
      <c r="FD77">
        <v>365.16364001071702</v>
      </c>
      <c r="FE77">
        <v>2285.2772739236102</v>
      </c>
      <c r="FF77">
        <v>0.73041971144837903</v>
      </c>
      <c r="FG77">
        <v>2.52080095297508E-3</v>
      </c>
      <c r="FH77">
        <v>1.4912558941394399E-2</v>
      </c>
      <c r="FI77">
        <v>3.2031162084426801E-2</v>
      </c>
      <c r="FJ77">
        <v>2600.9312770891602</v>
      </c>
      <c r="FK77">
        <v>19.6007667074722</v>
      </c>
      <c r="FL77">
        <v>0.56433024778302698</v>
      </c>
      <c r="FM77">
        <v>44.107369758576802</v>
      </c>
      <c r="FN77" s="2">
        <v>9.3348451532787303E-5</v>
      </c>
      <c r="FO77">
        <v>11188.484116899601</v>
      </c>
      <c r="FP77" s="2">
        <v>5.5535809929218503E-5</v>
      </c>
      <c r="FQ77">
        <v>6121.2958266557898</v>
      </c>
      <c r="FR77">
        <v>3.8225039975865699E-3</v>
      </c>
      <c r="FS77">
        <v>510362.018424396</v>
      </c>
      <c r="FT77">
        <v>97.562897077509504</v>
      </c>
      <c r="FU77">
        <v>6.1984051510488899E-2</v>
      </c>
      <c r="FV77">
        <v>469.33290978398901</v>
      </c>
      <c r="FW77">
        <v>0.29817846873188603</v>
      </c>
      <c r="FX77">
        <v>0.29492224095934</v>
      </c>
      <c r="FY77">
        <v>85.965868488736305</v>
      </c>
      <c r="FZ77">
        <v>32.6103586876321</v>
      </c>
      <c r="GA77">
        <v>6.9739660450898198</v>
      </c>
    </row>
    <row r="78" spans="1:183" x14ac:dyDescent="0.2">
      <c r="A78" t="s">
        <v>2505</v>
      </c>
      <c r="B78" t="s">
        <v>182</v>
      </c>
      <c r="C78" t="s">
        <v>1536</v>
      </c>
      <c r="D78" s="1">
        <v>42899</v>
      </c>
      <c r="E78" t="s">
        <v>362</v>
      </c>
      <c r="F78" t="s">
        <v>185</v>
      </c>
      <c r="G78" t="s">
        <v>186</v>
      </c>
      <c r="H78">
        <v>1</v>
      </c>
      <c r="I78">
        <v>400</v>
      </c>
      <c r="J78">
        <v>10</v>
      </c>
      <c r="K78" t="s">
        <v>187</v>
      </c>
      <c r="L78" t="s">
        <v>1554</v>
      </c>
      <c r="M78">
        <v>5</v>
      </c>
      <c r="N78">
        <v>0.66015625</v>
      </c>
      <c r="O78">
        <v>0.66015625</v>
      </c>
      <c r="P78" t="s">
        <v>1555</v>
      </c>
      <c r="Q78">
        <v>0</v>
      </c>
      <c r="R78">
        <v>94</v>
      </c>
      <c r="T78">
        <v>8627.1483739217092</v>
      </c>
      <c r="U78">
        <v>8770.6012725830005</v>
      </c>
      <c r="V78">
        <v>4025</v>
      </c>
      <c r="W78">
        <v>4422.0288966477601</v>
      </c>
      <c r="X78">
        <v>0.51257132774193903</v>
      </c>
      <c r="Y78">
        <v>34.085141169609997</v>
      </c>
      <c r="Z78">
        <v>1.65523616505007E-2</v>
      </c>
      <c r="AA78">
        <v>9.7346911958116206E-2</v>
      </c>
      <c r="AB78">
        <v>2.1738318132539498</v>
      </c>
      <c r="AC78">
        <v>0.46001718895774302</v>
      </c>
      <c r="AD78">
        <v>1.17383181325395</v>
      </c>
      <c r="AE78" t="s">
        <v>1556</v>
      </c>
      <c r="AF78" t="s">
        <v>1557</v>
      </c>
      <c r="AG78" t="s">
        <v>1558</v>
      </c>
      <c r="AH78" t="s">
        <v>193</v>
      </c>
      <c r="AI78" t="s">
        <v>193</v>
      </c>
      <c r="AJ78" t="s">
        <v>193</v>
      </c>
      <c r="AK78" t="s">
        <v>193</v>
      </c>
      <c r="AL78" t="s">
        <v>193</v>
      </c>
      <c r="AM78" t="s">
        <v>193</v>
      </c>
      <c r="AN78" t="s">
        <v>193</v>
      </c>
      <c r="AO78" t="s">
        <v>193</v>
      </c>
      <c r="AP78" t="s">
        <v>193</v>
      </c>
      <c r="AQ78">
        <v>4.8001873434936897</v>
      </c>
      <c r="AR78" t="s">
        <v>193</v>
      </c>
      <c r="AS78" t="s">
        <v>193</v>
      </c>
      <c r="AT78">
        <v>64.329139892340606</v>
      </c>
      <c r="AU78" t="s">
        <v>193</v>
      </c>
      <c r="AV78">
        <v>512077.52000338701</v>
      </c>
      <c r="AW78">
        <v>59.3565217391305</v>
      </c>
      <c r="AX78">
        <v>3102.6716500135099</v>
      </c>
      <c r="AY78">
        <v>-3.4738049140746701</v>
      </c>
      <c r="AZ78">
        <v>20.265628782984901</v>
      </c>
      <c r="BA78">
        <v>65</v>
      </c>
      <c r="BB78">
        <v>-498</v>
      </c>
      <c r="BC78">
        <v>30</v>
      </c>
      <c r="BD78">
        <v>49</v>
      </c>
      <c r="BE78">
        <v>65</v>
      </c>
      <c r="BF78">
        <v>82</v>
      </c>
      <c r="BG78">
        <v>103</v>
      </c>
      <c r="BH78">
        <v>55.701630586666901</v>
      </c>
      <c r="BI78">
        <v>232</v>
      </c>
      <c r="BJ78">
        <v>33</v>
      </c>
      <c r="BK78">
        <v>730</v>
      </c>
      <c r="BL78">
        <v>30.368691331352998</v>
      </c>
      <c r="BM78">
        <v>14.3277054404523</v>
      </c>
      <c r="BN78">
        <v>29.8019875776397</v>
      </c>
      <c r="BO78">
        <v>0.93842477548588998</v>
      </c>
      <c r="BP78">
        <v>0.25190839694656397</v>
      </c>
      <c r="BQ78" t="s">
        <v>194</v>
      </c>
      <c r="BR78" s="2">
        <v>26669120</v>
      </c>
      <c r="BS78">
        <v>81.399436871402003</v>
      </c>
      <c r="BT78">
        <v>520.592385101319</v>
      </c>
      <c r="BU78">
        <v>5847.0675150553297</v>
      </c>
      <c r="BV78" t="s">
        <v>194</v>
      </c>
      <c r="BW78" t="s">
        <v>194</v>
      </c>
      <c r="BX78" t="s">
        <v>194</v>
      </c>
      <c r="BY78" t="s">
        <v>194</v>
      </c>
      <c r="BZ78" t="s">
        <v>194</v>
      </c>
      <c r="CA78" t="s">
        <v>1559</v>
      </c>
      <c r="CB78" t="s">
        <v>1560</v>
      </c>
      <c r="CC78" t="s">
        <v>1561</v>
      </c>
      <c r="CD78" t="s">
        <v>1562</v>
      </c>
      <c r="CE78" t="s">
        <v>1563</v>
      </c>
      <c r="CF78" t="s">
        <v>1564</v>
      </c>
      <c r="CG78" t="s">
        <v>1565</v>
      </c>
      <c r="CH78">
        <v>106.492173913043</v>
      </c>
      <c r="CI78">
        <v>31.057889062921902</v>
      </c>
      <c r="CJ78">
        <v>-3.4560155105081001</v>
      </c>
      <c r="CK78">
        <v>20.130101081102101</v>
      </c>
      <c r="CL78">
        <v>107</v>
      </c>
      <c r="CM78">
        <v>51</v>
      </c>
      <c r="CN78">
        <v>104</v>
      </c>
      <c r="CO78">
        <v>105</v>
      </c>
      <c r="CP78">
        <v>107</v>
      </c>
      <c r="CQ78">
        <v>109</v>
      </c>
      <c r="CR78">
        <v>111</v>
      </c>
      <c r="CS78">
        <v>5.57296052946025</v>
      </c>
      <c r="CT78">
        <v>124</v>
      </c>
      <c r="CU78">
        <v>107</v>
      </c>
      <c r="CV78">
        <v>4</v>
      </c>
      <c r="CW78">
        <v>73</v>
      </c>
      <c r="CX78">
        <v>3.0669766135566299</v>
      </c>
      <c r="CY78">
        <v>1.5088508854696301</v>
      </c>
      <c r="CZ78">
        <v>2.9689440993788798</v>
      </c>
      <c r="DA78">
        <v>5.2332113475407803E-2</v>
      </c>
      <c r="DB78">
        <v>1.86915887850467E-2</v>
      </c>
      <c r="DC78">
        <v>1.1535481425698799</v>
      </c>
      <c r="DD78">
        <v>3.8320039836080402</v>
      </c>
      <c r="DE78">
        <v>1064.9217391304201</v>
      </c>
      <c r="DF78">
        <v>0.10298818718413601</v>
      </c>
      <c r="DG78">
        <v>5.0583719960790802E-3</v>
      </c>
      <c r="DH78">
        <v>187.5</v>
      </c>
      <c r="DI78">
        <v>105</v>
      </c>
      <c r="DJ78">
        <v>-163</v>
      </c>
      <c r="DK78">
        <v>109</v>
      </c>
      <c r="DL78" t="s">
        <v>194</v>
      </c>
      <c r="DM78" t="s">
        <v>194</v>
      </c>
      <c r="DN78" t="s">
        <v>194</v>
      </c>
      <c r="DO78" t="s">
        <v>194</v>
      </c>
      <c r="DP78" t="s">
        <v>194</v>
      </c>
      <c r="DQ78" t="s">
        <v>1566</v>
      </c>
      <c r="DR78" t="s">
        <v>1567</v>
      </c>
      <c r="DS78" t="s">
        <v>1568</v>
      </c>
      <c r="DT78" t="s">
        <v>1569</v>
      </c>
      <c r="DU78" t="s">
        <v>1563</v>
      </c>
      <c r="DV78" t="s">
        <v>1564</v>
      </c>
      <c r="DW78" t="s">
        <v>1570</v>
      </c>
      <c r="DX78">
        <v>5.3233640081799503E-2</v>
      </c>
      <c r="DY78">
        <v>106.734023517382</v>
      </c>
      <c r="DZ78">
        <v>24.299910907422301</v>
      </c>
      <c r="EA78">
        <v>6.56066213772531</v>
      </c>
      <c r="EB78">
        <v>1.97495609487229</v>
      </c>
      <c r="EC78">
        <v>1.6711400817995801</v>
      </c>
      <c r="ED78">
        <v>6.8845658781275896</v>
      </c>
      <c r="EE78">
        <v>6.5606621377254299</v>
      </c>
      <c r="EF78">
        <v>213.468047034764</v>
      </c>
      <c r="EG78">
        <v>13.0322525458106</v>
      </c>
      <c r="EH78">
        <v>2.92014577136527E-2</v>
      </c>
      <c r="EI78">
        <v>2.2042967884198801E-2</v>
      </c>
      <c r="EJ78">
        <v>9.6772750511247594</v>
      </c>
      <c r="EK78">
        <v>1.6711400817995801</v>
      </c>
      <c r="EL78">
        <v>0.55693649025883596</v>
      </c>
      <c r="EM78">
        <v>0.97893580354625798</v>
      </c>
      <c r="EN78">
        <v>0.51319621444096397</v>
      </c>
      <c r="EO78">
        <v>0.99830612259686402</v>
      </c>
      <c r="EP78">
        <v>0</v>
      </c>
      <c r="EQ78">
        <v>0.80087838412261803</v>
      </c>
      <c r="ER78">
        <v>11411.6130495909</v>
      </c>
      <c r="ES78">
        <v>13.0322525458106</v>
      </c>
      <c r="ET78">
        <v>-2652.65055832285</v>
      </c>
      <c r="EU78">
        <v>179411.83065372199</v>
      </c>
      <c r="EV78">
        <v>0.79709265995359002</v>
      </c>
      <c r="EW78">
        <v>2.41300547288016</v>
      </c>
      <c r="EX78" s="2">
        <v>8.9957694763818301E-5</v>
      </c>
      <c r="EY78">
        <v>11323.947550831601</v>
      </c>
      <c r="EZ78" s="2">
        <v>7.2278714658778297E-5</v>
      </c>
      <c r="FA78">
        <v>8987.6995046450193</v>
      </c>
      <c r="FB78" s="2">
        <v>2.13238404576879E-4</v>
      </c>
      <c r="FC78">
        <v>27561.761719037899</v>
      </c>
      <c r="FD78">
        <v>276.99484634795198</v>
      </c>
      <c r="FE78">
        <v>1753.5243696520699</v>
      </c>
      <c r="FF78">
        <v>0.73440993788819797</v>
      </c>
      <c r="FG78">
        <v>3.19023211428729E-3</v>
      </c>
      <c r="FH78">
        <v>1.81832688107019E-2</v>
      </c>
      <c r="FI78">
        <v>2.9216723871371801E-2</v>
      </c>
      <c r="FJ78">
        <v>2095.42163802192</v>
      </c>
      <c r="FK78">
        <v>16.715699613769001</v>
      </c>
      <c r="FL78">
        <v>0.60629751538781396</v>
      </c>
      <c r="FM78">
        <v>37.315208825847101</v>
      </c>
      <c r="FN78" s="2">
        <v>9.36482990600145E-5</v>
      </c>
      <c r="FO78">
        <v>11067.6477541371</v>
      </c>
      <c r="FP78" s="2">
        <v>5.9085374122154901E-5</v>
      </c>
      <c r="FQ78">
        <v>6544.7890117996103</v>
      </c>
      <c r="FR78">
        <v>3.2718933709533901E-3</v>
      </c>
      <c r="FS78">
        <v>426661.950354609</v>
      </c>
      <c r="FT78">
        <v>79.756501182033006</v>
      </c>
      <c r="FU78">
        <v>6.2849882728158404E-2</v>
      </c>
      <c r="FV78">
        <v>433.28211189913299</v>
      </c>
      <c r="FW78">
        <v>0.34143586438071899</v>
      </c>
      <c r="FX78">
        <v>0.31527950310559</v>
      </c>
      <c r="FY78">
        <v>74.067417181613294</v>
      </c>
      <c r="FZ78">
        <v>27.254964570056</v>
      </c>
      <c r="GA78">
        <v>6.7139301843726003</v>
      </c>
    </row>
    <row r="79" spans="1:183" x14ac:dyDescent="0.2">
      <c r="A79" t="s">
        <v>2505</v>
      </c>
      <c r="B79" t="s">
        <v>182</v>
      </c>
      <c r="C79" t="s">
        <v>1536</v>
      </c>
      <c r="D79" s="1">
        <v>42899</v>
      </c>
      <c r="E79" t="s">
        <v>362</v>
      </c>
      <c r="F79" t="s">
        <v>185</v>
      </c>
      <c r="G79" t="s">
        <v>186</v>
      </c>
      <c r="H79">
        <v>1</v>
      </c>
      <c r="I79">
        <v>400</v>
      </c>
      <c r="J79">
        <v>10</v>
      </c>
      <c r="K79" t="s">
        <v>187</v>
      </c>
      <c r="L79" t="s">
        <v>1571</v>
      </c>
      <c r="M79">
        <v>5</v>
      </c>
      <c r="N79">
        <v>0.66015625</v>
      </c>
      <c r="O79">
        <v>0.66015625</v>
      </c>
      <c r="P79" t="s">
        <v>1572</v>
      </c>
      <c r="Q79">
        <v>0</v>
      </c>
      <c r="R79">
        <v>95</v>
      </c>
      <c r="T79">
        <v>6017.2135480244897</v>
      </c>
      <c r="U79">
        <v>6168.8378143310501</v>
      </c>
      <c r="V79">
        <v>2831</v>
      </c>
      <c r="W79">
        <v>3434.2399976796301</v>
      </c>
      <c r="X79">
        <v>0.57073593454351101</v>
      </c>
      <c r="Y79">
        <v>33.446489258105998</v>
      </c>
      <c r="Z79">
        <v>1.6868424640742199E-2</v>
      </c>
      <c r="AA79">
        <v>0.101100032853287</v>
      </c>
      <c r="AB79">
        <v>2.14659230287974</v>
      </c>
      <c r="AC79">
        <v>0.46585464722782</v>
      </c>
      <c r="AD79">
        <v>1.14659230287974</v>
      </c>
      <c r="AE79" t="s">
        <v>1573</v>
      </c>
      <c r="AF79" t="s">
        <v>1574</v>
      </c>
      <c r="AG79" t="s">
        <v>1575</v>
      </c>
      <c r="AH79" t="s">
        <v>193</v>
      </c>
      <c r="AI79" t="s">
        <v>193</v>
      </c>
      <c r="AJ79" t="s">
        <v>193</v>
      </c>
      <c r="AK79" t="s">
        <v>193</v>
      </c>
      <c r="AL79" t="s">
        <v>193</v>
      </c>
      <c r="AM79" t="s">
        <v>193</v>
      </c>
      <c r="AN79" t="s">
        <v>193</v>
      </c>
      <c r="AO79" t="s">
        <v>193</v>
      </c>
      <c r="AP79" t="s">
        <v>193</v>
      </c>
      <c r="AQ79">
        <v>10.6157540587793</v>
      </c>
      <c r="AR79" t="s">
        <v>193</v>
      </c>
      <c r="AS79" t="s">
        <v>193</v>
      </c>
      <c r="AT79">
        <v>63.592414110853497</v>
      </c>
      <c r="AU79" t="s">
        <v>193</v>
      </c>
      <c r="AV79">
        <v>279051.20081476</v>
      </c>
      <c r="AW79">
        <v>46.375485694101101</v>
      </c>
      <c r="AX79">
        <v>6793.16914825403</v>
      </c>
      <c r="AY79">
        <v>-3.3842574118119702</v>
      </c>
      <c r="AZ79">
        <v>16.7282625194186</v>
      </c>
      <c r="BA79">
        <v>59</v>
      </c>
      <c r="BB79">
        <v>-658</v>
      </c>
      <c r="BC79">
        <v>-7</v>
      </c>
      <c r="BD79">
        <v>33</v>
      </c>
      <c r="BE79">
        <v>59</v>
      </c>
      <c r="BF79">
        <v>86</v>
      </c>
      <c r="BG79">
        <v>109</v>
      </c>
      <c r="BH79">
        <v>82.420683983172793</v>
      </c>
      <c r="BI79">
        <v>198</v>
      </c>
      <c r="BJ79">
        <v>53</v>
      </c>
      <c r="BK79">
        <v>856</v>
      </c>
      <c r="BL79">
        <v>47.090804848823801</v>
      </c>
      <c r="BM79">
        <v>22.9862021484835</v>
      </c>
      <c r="BN79">
        <v>45.6665489226421</v>
      </c>
      <c r="BO79">
        <v>1.77724680937749</v>
      </c>
      <c r="BP79">
        <v>0.44537815126050401</v>
      </c>
      <c r="BQ79" t="s">
        <v>194</v>
      </c>
      <c r="BR79" s="2">
        <v>25320053</v>
      </c>
      <c r="BS79">
        <v>94.571955788266294</v>
      </c>
      <c r="BT79">
        <v>286.08284980773999</v>
      </c>
      <c r="BU79">
        <v>2056.27927144368</v>
      </c>
      <c r="BV79" t="s">
        <v>194</v>
      </c>
      <c r="BW79" t="s">
        <v>194</v>
      </c>
      <c r="BX79" t="s">
        <v>194</v>
      </c>
      <c r="BY79" t="s">
        <v>194</v>
      </c>
      <c r="BZ79" t="s">
        <v>194</v>
      </c>
      <c r="CA79" t="s">
        <v>1576</v>
      </c>
      <c r="CB79" t="s">
        <v>1577</v>
      </c>
      <c r="CC79" t="s">
        <v>1578</v>
      </c>
      <c r="CD79" t="s">
        <v>1579</v>
      </c>
      <c r="CE79" t="s">
        <v>1580</v>
      </c>
      <c r="CF79" t="s">
        <v>1581</v>
      </c>
      <c r="CG79" t="s">
        <v>1582</v>
      </c>
      <c r="CH79">
        <v>105.193924408336</v>
      </c>
      <c r="CI79">
        <v>68.043283468677004</v>
      </c>
      <c r="CJ79">
        <v>-3.3823705752005799</v>
      </c>
      <c r="CK79">
        <v>16.705969906882299</v>
      </c>
      <c r="CL79">
        <v>106</v>
      </c>
      <c r="CM79">
        <v>35</v>
      </c>
      <c r="CN79">
        <v>100</v>
      </c>
      <c r="CO79">
        <v>104</v>
      </c>
      <c r="CP79">
        <v>106</v>
      </c>
      <c r="CQ79">
        <v>109</v>
      </c>
      <c r="CR79">
        <v>111</v>
      </c>
      <c r="CS79">
        <v>8.2488352795213995</v>
      </c>
      <c r="CT79">
        <v>120</v>
      </c>
      <c r="CU79">
        <v>105</v>
      </c>
      <c r="CV79">
        <v>5</v>
      </c>
      <c r="CW79">
        <v>85</v>
      </c>
      <c r="CX79">
        <v>4.7147495664455104</v>
      </c>
      <c r="CY79">
        <v>2.3331565724485399</v>
      </c>
      <c r="CZ79">
        <v>4.5715294948781304</v>
      </c>
      <c r="DA79">
        <v>7.8415510457633494E-2</v>
      </c>
      <c r="DB79">
        <v>2.3474178403755801E-2</v>
      </c>
      <c r="DC79">
        <v>1.3270785038898001</v>
      </c>
      <c r="DD79">
        <v>4.4084593661926199</v>
      </c>
      <c r="DE79">
        <v>1051.9392440833701</v>
      </c>
      <c r="DF79">
        <v>6.6512813365572895E-2</v>
      </c>
      <c r="DG79">
        <v>4.8471083108999596E-3</v>
      </c>
      <c r="DH79">
        <v>77</v>
      </c>
      <c r="DI79">
        <v>103</v>
      </c>
      <c r="DJ79">
        <v>-59</v>
      </c>
      <c r="DK79">
        <v>111</v>
      </c>
      <c r="DL79" t="s">
        <v>194</v>
      </c>
      <c r="DM79" t="s">
        <v>194</v>
      </c>
      <c r="DN79" t="s">
        <v>194</v>
      </c>
      <c r="DO79" t="s">
        <v>194</v>
      </c>
      <c r="DP79" t="s">
        <v>194</v>
      </c>
      <c r="DQ79" t="s">
        <v>1583</v>
      </c>
      <c r="DR79" t="s">
        <v>1584</v>
      </c>
      <c r="DS79" t="s">
        <v>1585</v>
      </c>
      <c r="DT79" t="s">
        <v>1586</v>
      </c>
      <c r="DU79" t="s">
        <v>1580</v>
      </c>
      <c r="DV79" t="s">
        <v>1581</v>
      </c>
      <c r="DW79" t="s">
        <v>1587</v>
      </c>
      <c r="DX79">
        <v>3.4851558178130099E-2</v>
      </c>
      <c r="DY79">
        <v>105.695970864835</v>
      </c>
      <c r="DZ79">
        <v>51.558267004130002</v>
      </c>
      <c r="EA79">
        <v>7.2930545132725699</v>
      </c>
      <c r="EB79">
        <v>2.19542816850762</v>
      </c>
      <c r="EC79">
        <v>2.1461368246358101</v>
      </c>
      <c r="ED79">
        <v>15.650504622252599</v>
      </c>
      <c r="EE79">
        <v>7.2930545132725602</v>
      </c>
      <c r="EF79">
        <v>211.39194172967001</v>
      </c>
      <c r="EG79">
        <v>104.535877953892</v>
      </c>
      <c r="EH79">
        <v>0.32732842900702203</v>
      </c>
      <c r="EI79">
        <v>1.3568102905073501E-2</v>
      </c>
      <c r="EJ79">
        <v>20.256407892310399</v>
      </c>
      <c r="EK79">
        <v>2.1461368246358101</v>
      </c>
      <c r="EL79">
        <v>0.54254094539806497</v>
      </c>
      <c r="EM79">
        <v>0.97730072693010595</v>
      </c>
      <c r="EN79">
        <v>0.49807554475059501</v>
      </c>
      <c r="EO79">
        <v>0.99742984885507202</v>
      </c>
      <c r="EP79" s="2">
        <v>3.1618617750388401E-8</v>
      </c>
      <c r="EQ79">
        <v>0.80355809970602599</v>
      </c>
      <c r="ER79">
        <v>11213.068320118</v>
      </c>
      <c r="ES79">
        <v>104.535877953892</v>
      </c>
      <c r="ET79">
        <v>-8168.3271600627904</v>
      </c>
      <c r="EU79">
        <v>702048.59527699498</v>
      </c>
      <c r="EV79">
        <v>0.80913648869177801</v>
      </c>
      <c r="EW79">
        <v>2.3866486029193101</v>
      </c>
      <c r="EX79" s="2">
        <v>9.5261571963599402E-5</v>
      </c>
      <c r="EY79">
        <v>11042.4752742527</v>
      </c>
      <c r="EZ79" s="2">
        <v>7.8429527283603001E-5</v>
      </c>
      <c r="FA79">
        <v>8864.4714073508094</v>
      </c>
      <c r="FB79" s="2">
        <v>2.1784312071213501E-4</v>
      </c>
      <c r="FC79">
        <v>26821.577226220899</v>
      </c>
      <c r="FD79">
        <v>126.72572411647199</v>
      </c>
      <c r="FE79">
        <v>1286.8602642175299</v>
      </c>
      <c r="FF79">
        <v>0.74258212645708199</v>
      </c>
      <c r="FG79">
        <v>5.93617121195453E-3</v>
      </c>
      <c r="FH79">
        <v>3.72942783017262E-2</v>
      </c>
      <c r="FI79">
        <v>1.41002569339202E-2</v>
      </c>
      <c r="FJ79">
        <v>3884.48382645313</v>
      </c>
      <c r="FK79">
        <v>37.970591171420203</v>
      </c>
      <c r="FL79">
        <v>0.63043705567649699</v>
      </c>
      <c r="FM79">
        <v>37.8865323435843</v>
      </c>
      <c r="FN79" s="2">
        <v>1.03577600979725E-4</v>
      </c>
      <c r="FO79">
        <v>10599.009544008401</v>
      </c>
      <c r="FP79" s="2">
        <v>7.0580827340330893E-5</v>
      </c>
      <c r="FQ79">
        <v>6392.2089620626002</v>
      </c>
      <c r="FR79">
        <v>3.3693154625922201E-3</v>
      </c>
      <c r="FS79">
        <v>428762.691410392</v>
      </c>
      <c r="FT79">
        <v>39.426299045599102</v>
      </c>
      <c r="FU79">
        <v>4.1809436951854802E-2</v>
      </c>
      <c r="FV79">
        <v>347.20148462354098</v>
      </c>
      <c r="FW79">
        <v>0.368188212750309</v>
      </c>
      <c r="FX79">
        <v>0.33309784528435099</v>
      </c>
      <c r="FY79">
        <v>152.13194729485201</v>
      </c>
      <c r="FZ79">
        <v>28.873802500761801</v>
      </c>
      <c r="GA79">
        <v>6.9764362102745503</v>
      </c>
    </row>
    <row r="80" spans="1:183" x14ac:dyDescent="0.2">
      <c r="A80" t="s">
        <v>2505</v>
      </c>
      <c r="B80" t="s">
        <v>182</v>
      </c>
      <c r="C80" t="s">
        <v>1536</v>
      </c>
      <c r="D80" s="1">
        <v>42899</v>
      </c>
      <c r="E80" t="s">
        <v>362</v>
      </c>
      <c r="F80" t="s">
        <v>185</v>
      </c>
      <c r="G80" t="s">
        <v>186</v>
      </c>
      <c r="H80">
        <v>1</v>
      </c>
      <c r="I80">
        <v>400</v>
      </c>
      <c r="J80">
        <v>10</v>
      </c>
      <c r="K80" t="s">
        <v>187</v>
      </c>
      <c r="L80" t="s">
        <v>1588</v>
      </c>
      <c r="M80">
        <v>5</v>
      </c>
      <c r="N80">
        <v>0.66015625</v>
      </c>
      <c r="O80">
        <v>0.66015625</v>
      </c>
      <c r="P80" t="s">
        <v>1589</v>
      </c>
      <c r="Q80">
        <v>0</v>
      </c>
      <c r="R80">
        <v>96</v>
      </c>
      <c r="T80">
        <v>3446.5012868245399</v>
      </c>
      <c r="U80">
        <v>3567.0743560791002</v>
      </c>
      <c r="V80">
        <v>1637</v>
      </c>
      <c r="W80">
        <v>2191.9084211233098</v>
      </c>
      <c r="X80">
        <v>0.63598073486948803</v>
      </c>
      <c r="Y80">
        <v>29.775232598069099</v>
      </c>
      <c r="Z80">
        <v>1.8948284675510501E-2</v>
      </c>
      <c r="AA80">
        <v>0.12756808845440501</v>
      </c>
      <c r="AB80">
        <v>1.98648817441027</v>
      </c>
      <c r="AC80">
        <v>0.50340093280286902</v>
      </c>
      <c r="AD80">
        <v>0.98648817441027004</v>
      </c>
      <c r="AE80" t="s">
        <v>1590</v>
      </c>
      <c r="AF80" t="s">
        <v>1591</v>
      </c>
      <c r="AG80" t="s">
        <v>1592</v>
      </c>
      <c r="AH80" t="s">
        <v>193</v>
      </c>
      <c r="AI80" t="s">
        <v>193</v>
      </c>
      <c r="AJ80" t="s">
        <v>193</v>
      </c>
      <c r="AK80" t="s">
        <v>193</v>
      </c>
      <c r="AL80" t="s">
        <v>193</v>
      </c>
      <c r="AM80" t="s">
        <v>193</v>
      </c>
      <c r="AN80" t="s">
        <v>193</v>
      </c>
      <c r="AO80" t="s">
        <v>193</v>
      </c>
      <c r="AP80" t="s">
        <v>193</v>
      </c>
      <c r="AQ80">
        <v>15.818009432775099</v>
      </c>
      <c r="AR80" t="s">
        <v>193</v>
      </c>
      <c r="AS80" t="s">
        <v>193</v>
      </c>
      <c r="AT80">
        <v>60.1126233406411</v>
      </c>
      <c r="AU80" t="s">
        <v>193</v>
      </c>
      <c r="AV80">
        <v>194854.69798222199</v>
      </c>
      <c r="AW80">
        <v>56.536957849724999</v>
      </c>
      <c r="AX80">
        <v>11876.1386768784</v>
      </c>
      <c r="AY80">
        <v>-2.4414364910030302</v>
      </c>
      <c r="AZ80">
        <v>8.4273461428082008</v>
      </c>
      <c r="BA80">
        <v>71</v>
      </c>
      <c r="BB80">
        <v>-625</v>
      </c>
      <c r="BC80">
        <v>-37</v>
      </c>
      <c r="BD80">
        <v>36</v>
      </c>
      <c r="BE80">
        <v>71</v>
      </c>
      <c r="BF80">
        <v>115</v>
      </c>
      <c r="BG80">
        <v>156</v>
      </c>
      <c r="BH80">
        <v>108.977698071112</v>
      </c>
      <c r="BI80">
        <v>235</v>
      </c>
      <c r="BJ80">
        <v>79</v>
      </c>
      <c r="BK80">
        <v>860</v>
      </c>
      <c r="BL80">
        <v>67.662060423863807</v>
      </c>
      <c r="BM80">
        <v>34.031970367340598</v>
      </c>
      <c r="BN80">
        <v>65.737324373854605</v>
      </c>
      <c r="BO80">
        <v>1.9275479653640799</v>
      </c>
      <c r="BP80">
        <v>0.52317880794701899</v>
      </c>
      <c r="BQ80" t="s">
        <v>194</v>
      </c>
      <c r="BR80" s="2">
        <v>24673791</v>
      </c>
      <c r="BS80">
        <v>122.77038030315001</v>
      </c>
      <c r="BT80">
        <v>201.671532516479</v>
      </c>
      <c r="BU80">
        <v>2378.0495707194</v>
      </c>
      <c r="BV80" t="s">
        <v>194</v>
      </c>
      <c r="BW80" t="s">
        <v>194</v>
      </c>
      <c r="BX80" t="s">
        <v>194</v>
      </c>
      <c r="BY80" t="s">
        <v>194</v>
      </c>
      <c r="BZ80" t="s">
        <v>194</v>
      </c>
      <c r="CA80" t="s">
        <v>1593</v>
      </c>
      <c r="CB80" t="s">
        <v>1594</v>
      </c>
      <c r="CC80" t="s">
        <v>1595</v>
      </c>
      <c r="CD80" t="s">
        <v>1596</v>
      </c>
      <c r="CE80" t="s">
        <v>1597</v>
      </c>
      <c r="CF80" t="s">
        <v>1598</v>
      </c>
      <c r="CG80" t="s">
        <v>1599</v>
      </c>
      <c r="CH80">
        <v>106.20830788026799</v>
      </c>
      <c r="CI80">
        <v>118.58153146782399</v>
      </c>
      <c r="CJ80">
        <v>-2.4454136134231899</v>
      </c>
      <c r="CK80">
        <v>8.4485937052799898</v>
      </c>
      <c r="CL80">
        <v>108</v>
      </c>
      <c r="CM80">
        <v>38</v>
      </c>
      <c r="CN80">
        <v>97</v>
      </c>
      <c r="CO80">
        <v>104</v>
      </c>
      <c r="CP80">
        <v>108</v>
      </c>
      <c r="CQ80">
        <v>112</v>
      </c>
      <c r="CR80">
        <v>116</v>
      </c>
      <c r="CS80">
        <v>10.8895147489603</v>
      </c>
      <c r="CT80">
        <v>124</v>
      </c>
      <c r="CU80">
        <v>107</v>
      </c>
      <c r="CV80">
        <v>8</v>
      </c>
      <c r="CW80">
        <v>86</v>
      </c>
      <c r="CX80">
        <v>6.76061929218519</v>
      </c>
      <c r="CY80">
        <v>3.4419369158597899</v>
      </c>
      <c r="CZ80">
        <v>6.5601710445937602</v>
      </c>
      <c r="DA80">
        <v>0.102529782898305</v>
      </c>
      <c r="DB80">
        <v>3.7037037037037E-2</v>
      </c>
      <c r="DC80">
        <v>1.4848064149086699</v>
      </c>
      <c r="DD80">
        <v>4.9324201451540999</v>
      </c>
      <c r="DE80">
        <v>1062.0830788026799</v>
      </c>
      <c r="DF80">
        <v>4.6238686991304102E-2</v>
      </c>
      <c r="DG80">
        <v>5.3146957421459796E-3</v>
      </c>
      <c r="DH80">
        <v>25.5</v>
      </c>
      <c r="DI80">
        <v>103</v>
      </c>
      <c r="DJ80">
        <v>-35.5</v>
      </c>
      <c r="DK80">
        <v>109</v>
      </c>
      <c r="DL80" t="s">
        <v>194</v>
      </c>
      <c r="DM80" t="s">
        <v>194</v>
      </c>
      <c r="DN80" t="s">
        <v>194</v>
      </c>
      <c r="DO80" t="s">
        <v>194</v>
      </c>
      <c r="DP80" t="s">
        <v>194</v>
      </c>
      <c r="DQ80" t="s">
        <v>1600</v>
      </c>
      <c r="DR80" t="s">
        <v>1601</v>
      </c>
      <c r="DS80" t="s">
        <v>1602</v>
      </c>
      <c r="DT80" t="s">
        <v>1603</v>
      </c>
      <c r="DU80" t="s">
        <v>1597</v>
      </c>
      <c r="DV80" t="s">
        <v>1598</v>
      </c>
      <c r="DW80" t="s">
        <v>1604</v>
      </c>
      <c r="DX80">
        <v>2.9664451288701502E-2</v>
      </c>
      <c r="DY80">
        <v>106.875830766736</v>
      </c>
      <c r="DZ80">
        <v>95.864465288915596</v>
      </c>
      <c r="EA80">
        <v>7.8998145825401096</v>
      </c>
      <c r="EB80">
        <v>2.3780811495282999</v>
      </c>
      <c r="EC80">
        <v>2.4175717296158199</v>
      </c>
      <c r="ED80">
        <v>16.956449217784002</v>
      </c>
      <c r="EE80">
        <v>7.8998145825399098</v>
      </c>
      <c r="EF80">
        <v>213.751661533473</v>
      </c>
      <c r="EG80">
        <v>208.248342228761</v>
      </c>
      <c r="EH80">
        <v>0.58037575535264696</v>
      </c>
      <c r="EI80">
        <v>9.1482911448567093E-3</v>
      </c>
      <c r="EJ80">
        <v>22.801102285621599</v>
      </c>
      <c r="EK80">
        <v>2.4175717296158199</v>
      </c>
      <c r="EL80">
        <v>0.51801495882176396</v>
      </c>
      <c r="EM80">
        <v>0.97473090207437296</v>
      </c>
      <c r="EN80">
        <v>0.46947165330690999</v>
      </c>
      <c r="EO80">
        <v>0.99714188415078497</v>
      </c>
      <c r="EP80">
        <v>0</v>
      </c>
      <c r="EQ80">
        <v>0.88107636016690905</v>
      </c>
      <c r="ER80">
        <v>11506.907116226201</v>
      </c>
      <c r="ES80">
        <v>208.248342228761</v>
      </c>
      <c r="ET80">
        <v>-15704.289034646699</v>
      </c>
      <c r="EU80">
        <v>1496179.8210965199</v>
      </c>
      <c r="EV80">
        <v>0.82472328527972305</v>
      </c>
      <c r="EW80">
        <v>2.1482307106788001</v>
      </c>
      <c r="EX80" s="2">
        <v>9.63427085075088E-5</v>
      </c>
      <c r="EY80">
        <v>11241.6100061783</v>
      </c>
      <c r="EZ80" s="2">
        <v>8.14507980158469E-5</v>
      </c>
      <c r="FA80">
        <v>9150.0467736745904</v>
      </c>
      <c r="FB80" s="2">
        <v>1.9393503658391499E-4</v>
      </c>
      <c r="FC80">
        <v>24900.7694617382</v>
      </c>
      <c r="FD80">
        <v>52.589513964468402</v>
      </c>
      <c r="FE80">
        <v>799.49851952088602</v>
      </c>
      <c r="FF80">
        <v>0.76756261453879004</v>
      </c>
      <c r="FG80">
        <v>1.32447197867375E-2</v>
      </c>
      <c r="FH80">
        <v>6.5497799859786002E-2</v>
      </c>
      <c r="FI80">
        <v>6.7238674612043903E-3</v>
      </c>
      <c r="FJ80">
        <v>3901.3994278556802</v>
      </c>
      <c r="FK80">
        <v>63.123647908182001</v>
      </c>
      <c r="FL80">
        <v>0.65866232138032099</v>
      </c>
      <c r="FM80">
        <v>23.167207792207702</v>
      </c>
      <c r="FN80" s="2">
        <v>1.07432412299678E-4</v>
      </c>
      <c r="FO80">
        <v>10594.5097402597</v>
      </c>
      <c r="FP80" s="2">
        <v>7.7437819588004395E-5</v>
      </c>
      <c r="FQ80">
        <v>6584.1266998912097</v>
      </c>
      <c r="FR80">
        <v>1.9783767103450198E-3</v>
      </c>
      <c r="FS80">
        <v>275087.77110389603</v>
      </c>
      <c r="FT80">
        <v>18.178571428571399</v>
      </c>
      <c r="FU80">
        <v>2.9510667903524999E-2</v>
      </c>
      <c r="FV80">
        <v>247.366883116883</v>
      </c>
      <c r="FW80">
        <v>0.401569615449485</v>
      </c>
      <c r="FX80">
        <v>0.376298106291997</v>
      </c>
      <c r="FY80">
        <v>224.92279473772999</v>
      </c>
      <c r="FZ80">
        <v>16.105074106088701</v>
      </c>
      <c r="GA80">
        <v>7.13419168241035</v>
      </c>
    </row>
    <row r="81" spans="1:183" x14ac:dyDescent="0.2">
      <c r="A81" t="s">
        <v>2505</v>
      </c>
      <c r="B81" t="s">
        <v>182</v>
      </c>
      <c r="C81" t="s">
        <v>1536</v>
      </c>
      <c r="D81" s="1">
        <v>42899</v>
      </c>
      <c r="E81" t="s">
        <v>362</v>
      </c>
      <c r="F81" t="s">
        <v>185</v>
      </c>
      <c r="G81" t="s">
        <v>186</v>
      </c>
      <c r="H81">
        <v>1</v>
      </c>
      <c r="I81">
        <v>400</v>
      </c>
      <c r="J81">
        <v>10</v>
      </c>
      <c r="K81" t="s">
        <v>187</v>
      </c>
      <c r="L81" t="s">
        <v>1605</v>
      </c>
      <c r="M81">
        <v>5</v>
      </c>
      <c r="N81">
        <v>0.66015625</v>
      </c>
      <c r="O81">
        <v>0.66015625</v>
      </c>
      <c r="P81" t="s">
        <v>1606</v>
      </c>
      <c r="Q81">
        <v>0</v>
      </c>
      <c r="R81">
        <v>97</v>
      </c>
      <c r="T81">
        <v>526.05449040730798</v>
      </c>
      <c r="U81">
        <v>555.65299987792901</v>
      </c>
      <c r="V81">
        <v>255</v>
      </c>
      <c r="W81">
        <v>404.90683750217801</v>
      </c>
      <c r="X81">
        <v>0.76970512539237401</v>
      </c>
      <c r="Y81">
        <v>15.4882351536599</v>
      </c>
      <c r="Z81">
        <v>3.64269768602032E-2</v>
      </c>
      <c r="AA81">
        <v>0.47146396673454699</v>
      </c>
      <c r="AB81">
        <v>1.2848442877414099</v>
      </c>
      <c r="AC81">
        <v>0.778304429214425</v>
      </c>
      <c r="AD81">
        <v>0.28484428774141701</v>
      </c>
      <c r="AE81" t="s">
        <v>1607</v>
      </c>
      <c r="AF81" t="s">
        <v>1608</v>
      </c>
      <c r="AG81" t="s">
        <v>1609</v>
      </c>
      <c r="AH81" t="s">
        <v>193</v>
      </c>
      <c r="AI81" t="s">
        <v>193</v>
      </c>
      <c r="AJ81" t="s">
        <v>193</v>
      </c>
      <c r="AK81" t="s">
        <v>193</v>
      </c>
      <c r="AL81" t="s">
        <v>193</v>
      </c>
      <c r="AM81" t="s">
        <v>193</v>
      </c>
      <c r="AN81" t="s">
        <v>193</v>
      </c>
      <c r="AO81" t="s">
        <v>193</v>
      </c>
      <c r="AP81" t="s">
        <v>193</v>
      </c>
      <c r="AQ81">
        <v>3.2855719938223098</v>
      </c>
      <c r="AR81" t="s">
        <v>193</v>
      </c>
      <c r="AS81" t="s">
        <v>193</v>
      </c>
      <c r="AT81">
        <v>13.538696354550201</v>
      </c>
      <c r="AU81" t="s">
        <v>193</v>
      </c>
      <c r="AV81">
        <v>28598.797649084299</v>
      </c>
      <c r="AW81">
        <v>54.364705882352901</v>
      </c>
      <c r="AX81">
        <v>7513.6277739330999</v>
      </c>
      <c r="AY81">
        <v>-2.0392678308690999</v>
      </c>
      <c r="AZ81">
        <v>5.7010355955658198</v>
      </c>
      <c r="BA81">
        <v>74</v>
      </c>
      <c r="BB81">
        <v>-339</v>
      </c>
      <c r="BC81">
        <v>-42</v>
      </c>
      <c r="BD81">
        <v>46</v>
      </c>
      <c r="BE81">
        <v>74</v>
      </c>
      <c r="BF81">
        <v>94</v>
      </c>
      <c r="BG81">
        <v>128</v>
      </c>
      <c r="BH81">
        <v>86.681184659262101</v>
      </c>
      <c r="BI81">
        <v>216</v>
      </c>
      <c r="BJ81">
        <v>48</v>
      </c>
      <c r="BK81">
        <v>555</v>
      </c>
      <c r="BL81">
        <v>56.367151095732297</v>
      </c>
      <c r="BM81">
        <v>27.1452540295974</v>
      </c>
      <c r="BN81">
        <v>52.0117647058823</v>
      </c>
      <c r="BO81">
        <v>1.59443858386437</v>
      </c>
      <c r="BP81">
        <v>0.34285714285714203</v>
      </c>
      <c r="BQ81" t="s">
        <v>194</v>
      </c>
      <c r="BR81">
        <v>2669633</v>
      </c>
      <c r="BS81">
        <v>102.318859549976</v>
      </c>
      <c r="BT81">
        <v>30.207911911010701</v>
      </c>
      <c r="BU81">
        <v>370.43533325195301</v>
      </c>
      <c r="BV81" t="s">
        <v>194</v>
      </c>
      <c r="BW81" t="s">
        <v>194</v>
      </c>
      <c r="BX81" t="s">
        <v>194</v>
      </c>
      <c r="BY81" t="s">
        <v>194</v>
      </c>
      <c r="BZ81" t="s">
        <v>194</v>
      </c>
      <c r="CA81" t="s">
        <v>1610</v>
      </c>
      <c r="CB81" t="s">
        <v>1611</v>
      </c>
      <c r="CC81" t="s">
        <v>1612</v>
      </c>
      <c r="CD81" t="s">
        <v>1613</v>
      </c>
      <c r="CE81" t="s">
        <v>1614</v>
      </c>
      <c r="CF81" t="s">
        <v>1615</v>
      </c>
      <c r="CG81" t="s">
        <v>1616</v>
      </c>
      <c r="CH81">
        <v>106.019607843137</v>
      </c>
      <c r="CI81">
        <v>75.634909650134503</v>
      </c>
      <c r="CJ81">
        <v>-2.0248462358802199</v>
      </c>
      <c r="CK81">
        <v>5.64847270714262</v>
      </c>
      <c r="CL81">
        <v>108</v>
      </c>
      <c r="CM81">
        <v>67</v>
      </c>
      <c r="CN81">
        <v>96</v>
      </c>
      <c r="CO81">
        <v>105</v>
      </c>
      <c r="CP81">
        <v>108</v>
      </c>
      <c r="CQ81">
        <v>110</v>
      </c>
      <c r="CR81">
        <v>113</v>
      </c>
      <c r="CS81">
        <v>8.6968333116217895</v>
      </c>
      <c r="CT81">
        <v>122</v>
      </c>
      <c r="CU81">
        <v>108</v>
      </c>
      <c r="CV81">
        <v>5</v>
      </c>
      <c r="CW81">
        <v>55</v>
      </c>
      <c r="CX81">
        <v>5.6524413687043404</v>
      </c>
      <c r="CY81">
        <v>2.8431125661042498</v>
      </c>
      <c r="CZ81">
        <v>5.2039215686274503</v>
      </c>
      <c r="DA81">
        <v>8.2030423320272106E-2</v>
      </c>
      <c r="DB81">
        <v>2.3255813953488299E-2</v>
      </c>
      <c r="DC81">
        <v>1.3244164185309399</v>
      </c>
      <c r="DD81">
        <v>4.3996161100480302</v>
      </c>
      <c r="DE81">
        <v>1060.1960784313701</v>
      </c>
      <c r="DF81">
        <v>6.88196847366397E-2</v>
      </c>
      <c r="DG81">
        <v>1.6428058820635898E-2</v>
      </c>
      <c r="DH81">
        <v>9.5</v>
      </c>
      <c r="DI81">
        <v>107</v>
      </c>
      <c r="DJ81">
        <v>-10</v>
      </c>
      <c r="DK81">
        <v>111</v>
      </c>
      <c r="DL81" t="s">
        <v>194</v>
      </c>
      <c r="DM81" t="s">
        <v>194</v>
      </c>
      <c r="DN81" t="s">
        <v>194</v>
      </c>
      <c r="DO81" t="s">
        <v>194</v>
      </c>
      <c r="DP81" t="s">
        <v>194</v>
      </c>
      <c r="DQ81" t="s">
        <v>1617</v>
      </c>
      <c r="DR81" t="s">
        <v>1618</v>
      </c>
      <c r="DS81" t="s">
        <v>1619</v>
      </c>
      <c r="DT81" t="s">
        <v>1620</v>
      </c>
      <c r="DU81" t="s">
        <v>1614</v>
      </c>
      <c r="DV81" t="s">
        <v>1615</v>
      </c>
      <c r="DW81" t="s">
        <v>1621</v>
      </c>
      <c r="DX81">
        <v>5.06465517241379E-2</v>
      </c>
      <c r="DY81">
        <v>106.233297413793</v>
      </c>
      <c r="DZ81">
        <v>61.1422317994761</v>
      </c>
      <c r="EA81">
        <v>7.0001658618150904</v>
      </c>
      <c r="EB81">
        <v>2.1072598990293501</v>
      </c>
      <c r="EC81">
        <v>2.1648706896551699</v>
      </c>
      <c r="ED81">
        <v>8.7820848970719307</v>
      </c>
      <c r="EE81">
        <v>7.0001658618150602</v>
      </c>
      <c r="EF81">
        <v>212.46659482758599</v>
      </c>
      <c r="EG81">
        <v>0</v>
      </c>
      <c r="EH81">
        <v>0</v>
      </c>
      <c r="EI81">
        <v>1.6452929919738301E-2</v>
      </c>
      <c r="EJ81">
        <v>13.46875</v>
      </c>
      <c r="EK81">
        <v>2.1648706896551699</v>
      </c>
      <c r="EL81">
        <v>0.52170715358072695</v>
      </c>
      <c r="EM81">
        <v>0.96501672296934704</v>
      </c>
      <c r="EN81">
        <v>0.47449557920143698</v>
      </c>
      <c r="EO81">
        <v>0.99585623791991895</v>
      </c>
      <c r="EP81">
        <v>0</v>
      </c>
      <c r="EQ81">
        <v>0.88985722630985598</v>
      </c>
      <c r="ER81">
        <v>11339.9213362068</v>
      </c>
      <c r="ES81">
        <v>0</v>
      </c>
      <c r="ET81">
        <v>-7333.8732747063896</v>
      </c>
      <c r="EU81">
        <v>490763.962072959</v>
      </c>
      <c r="EV81">
        <v>0.83390094613227095</v>
      </c>
      <c r="EW81">
        <v>2.1889298891625901</v>
      </c>
      <c r="EX81" s="2">
        <v>9.2553070839404593E-5</v>
      </c>
      <c r="EY81">
        <v>11233.1192910556</v>
      </c>
      <c r="EZ81" s="2">
        <v>7.7863646066827095E-5</v>
      </c>
      <c r="FA81">
        <v>9314.7879664003103</v>
      </c>
      <c r="FB81" s="2">
        <v>1.96138098068635E-4</v>
      </c>
      <c r="FC81">
        <v>25060.136951889901</v>
      </c>
      <c r="FD81">
        <v>11.6120243782036</v>
      </c>
      <c r="FE81">
        <v>128.214557153458</v>
      </c>
      <c r="FF81">
        <v>0.77058823529411702</v>
      </c>
      <c r="FG81">
        <v>7.00562739612407E-2</v>
      </c>
      <c r="FH81">
        <v>0.138549102054708</v>
      </c>
      <c r="FI81">
        <v>3.2897502023424099E-3</v>
      </c>
      <c r="FJ81">
        <v>776.03868769386099</v>
      </c>
      <c r="FK81">
        <v>72.908238568490006</v>
      </c>
      <c r="FL81">
        <v>0.64603660225700199</v>
      </c>
      <c r="FM81">
        <v>25</v>
      </c>
      <c r="FN81" s="2">
        <v>9.6589109625080003E-5</v>
      </c>
      <c r="FO81">
        <v>10872.6526315789</v>
      </c>
      <c r="FP81" s="2">
        <v>6.3254677163161497E-5</v>
      </c>
      <c r="FQ81">
        <v>6905.5271531656999</v>
      </c>
      <c r="FR81">
        <v>2.1621321792209E-3</v>
      </c>
      <c r="FS81">
        <v>291586.38947368402</v>
      </c>
      <c r="FT81">
        <v>3.6105263157894698</v>
      </c>
      <c r="FU81">
        <v>3.8005540166204901E-2</v>
      </c>
      <c r="FV81">
        <v>37.084210526315701</v>
      </c>
      <c r="FW81">
        <v>0.390360110803324</v>
      </c>
      <c r="FX81">
        <v>0.37254901960784298</v>
      </c>
      <c r="FY81">
        <v>113.504044321329</v>
      </c>
      <c r="FZ81">
        <v>17.795013850415501</v>
      </c>
      <c r="GA81">
        <v>5.9054407085544698</v>
      </c>
    </row>
    <row r="82" spans="1:183" x14ac:dyDescent="0.2">
      <c r="A82" t="s">
        <v>2506</v>
      </c>
      <c r="B82" t="s">
        <v>455</v>
      </c>
      <c r="C82" t="s">
        <v>1622</v>
      </c>
      <c r="D82" s="1">
        <v>43374</v>
      </c>
      <c r="E82" t="s">
        <v>362</v>
      </c>
      <c r="F82" t="s">
        <v>185</v>
      </c>
      <c r="G82" t="s">
        <v>186</v>
      </c>
      <c r="H82">
        <v>1</v>
      </c>
      <c r="I82">
        <v>400</v>
      </c>
      <c r="J82">
        <v>10</v>
      </c>
      <c r="K82" t="s">
        <v>187</v>
      </c>
      <c r="L82" t="s">
        <v>1623</v>
      </c>
      <c r="M82">
        <v>2</v>
      </c>
      <c r="N82">
        <v>0.97265625</v>
      </c>
      <c r="O82">
        <v>0.97265625</v>
      </c>
      <c r="P82" t="s">
        <v>1624</v>
      </c>
      <c r="Q82">
        <v>0</v>
      </c>
      <c r="R82" t="s">
        <v>194</v>
      </c>
      <c r="T82">
        <v>657089.17317581095</v>
      </c>
      <c r="U82">
        <v>658385.98516845703</v>
      </c>
      <c r="V82">
        <v>347962</v>
      </c>
      <c r="W82">
        <v>127786.489200282</v>
      </c>
      <c r="X82">
        <v>0.19447358808648499</v>
      </c>
      <c r="Y82">
        <v>69.518932772833296</v>
      </c>
      <c r="Z82">
        <v>8.1156249246713101E-3</v>
      </c>
      <c r="AA82">
        <v>2.3401633891447102E-2</v>
      </c>
      <c r="AB82">
        <v>3.49610611832684</v>
      </c>
      <c r="AC82">
        <v>0.28603250763983601</v>
      </c>
      <c r="AD82">
        <v>2.4961061183268298</v>
      </c>
      <c r="AE82" t="s">
        <v>1625</v>
      </c>
      <c r="AF82" t="s">
        <v>1626</v>
      </c>
      <c r="AG82" t="s">
        <v>1627</v>
      </c>
      <c r="AH82" t="s">
        <v>193</v>
      </c>
      <c r="AI82" t="s">
        <v>193</v>
      </c>
      <c r="AJ82" t="s">
        <v>193</v>
      </c>
      <c r="AK82" t="s">
        <v>193</v>
      </c>
      <c r="AL82" t="s">
        <v>193</v>
      </c>
      <c r="AM82" t="s">
        <v>193</v>
      </c>
      <c r="AN82" t="s">
        <v>193</v>
      </c>
      <c r="AO82" t="s">
        <v>193</v>
      </c>
      <c r="AP82" t="s">
        <v>193</v>
      </c>
      <c r="AQ82">
        <v>0.57482361016529904</v>
      </c>
      <c r="AR82" t="s">
        <v>193</v>
      </c>
      <c r="AS82" t="s">
        <v>193</v>
      </c>
      <c r="AT82">
        <v>248.413243498491</v>
      </c>
      <c r="AU82" t="s">
        <v>193</v>
      </c>
      <c r="AV82" s="2">
        <v>617939008.92559099</v>
      </c>
      <c r="AW82">
        <v>8.4187957305685099</v>
      </c>
      <c r="AX82">
        <v>3544.8167385869101</v>
      </c>
      <c r="AY82">
        <v>-5.2631505721966896</v>
      </c>
      <c r="AZ82">
        <v>58.918542970731103</v>
      </c>
      <c r="BA82">
        <v>12</v>
      </c>
      <c r="BB82">
        <v>-932</v>
      </c>
      <c r="BC82">
        <v>-27</v>
      </c>
      <c r="BD82">
        <v>-8</v>
      </c>
      <c r="BE82">
        <v>12</v>
      </c>
      <c r="BF82">
        <v>34</v>
      </c>
      <c r="BG82">
        <v>55</v>
      </c>
      <c r="BH82">
        <v>59.538363586740502</v>
      </c>
      <c r="BI82">
        <v>1036</v>
      </c>
      <c r="BJ82">
        <v>42</v>
      </c>
      <c r="BK82">
        <v>1968</v>
      </c>
      <c r="BL82">
        <v>30.979745953934099</v>
      </c>
      <c r="BM82">
        <v>17.373467535048899</v>
      </c>
      <c r="BN82">
        <v>30.830231462056201</v>
      </c>
      <c r="BO82">
        <v>7.0720760417737303</v>
      </c>
      <c r="BP82">
        <v>1.6153846153846101</v>
      </c>
      <c r="BQ82" t="s">
        <v>194</v>
      </c>
      <c r="BR82" s="2">
        <v>1258123719</v>
      </c>
      <c r="BS82">
        <v>60.130631629310997</v>
      </c>
      <c r="BT82">
        <v>5542.8171210023402</v>
      </c>
      <c r="BU82">
        <v>524086.43545532197</v>
      </c>
      <c r="BV82">
        <v>0.50898037719726497</v>
      </c>
      <c r="BW82">
        <v>87</v>
      </c>
      <c r="BX82">
        <v>1.0576953124999999</v>
      </c>
      <c r="BY82">
        <v>75.046592712402301</v>
      </c>
      <c r="BZ82">
        <v>27.528038024902301</v>
      </c>
      <c r="CA82" t="s">
        <v>1628</v>
      </c>
      <c r="CB82" t="s">
        <v>1629</v>
      </c>
      <c r="CC82" t="s">
        <v>1630</v>
      </c>
      <c r="CD82" t="s">
        <v>1631</v>
      </c>
      <c r="CE82" t="s">
        <v>1632</v>
      </c>
      <c r="CF82" t="s">
        <v>1633</v>
      </c>
      <c r="CG82" t="s">
        <v>1634</v>
      </c>
      <c r="CH82">
        <v>101.390614492388</v>
      </c>
      <c r="CI82">
        <v>35.530239131886198</v>
      </c>
      <c r="CJ82">
        <v>-5.2456121353481198</v>
      </c>
      <c r="CK82">
        <v>58.655287747548002</v>
      </c>
      <c r="CL82">
        <v>102</v>
      </c>
      <c r="CM82">
        <v>7</v>
      </c>
      <c r="CN82">
        <v>98</v>
      </c>
      <c r="CO82">
        <v>100</v>
      </c>
      <c r="CP82">
        <v>102</v>
      </c>
      <c r="CQ82">
        <v>104</v>
      </c>
      <c r="CR82">
        <v>106</v>
      </c>
      <c r="CS82">
        <v>5.9607247153249903</v>
      </c>
      <c r="CT82">
        <v>204</v>
      </c>
      <c r="CU82">
        <v>101</v>
      </c>
      <c r="CV82">
        <v>4</v>
      </c>
      <c r="CW82">
        <v>197</v>
      </c>
      <c r="CX82">
        <v>3.1187187787592299</v>
      </c>
      <c r="CY82">
        <v>1.83049001764982</v>
      </c>
      <c r="CZ82">
        <v>3.0824773969571302</v>
      </c>
      <c r="DA82">
        <v>5.8789708940688003E-2</v>
      </c>
      <c r="DB82">
        <v>1.9607843137254902E-2</v>
      </c>
      <c r="DC82">
        <v>1.1825767220035699</v>
      </c>
      <c r="DD82">
        <v>3.9284348371834699</v>
      </c>
      <c r="DE82">
        <v>1013.90614492387</v>
      </c>
      <c r="DF82">
        <v>8.7849828572226493E-2</v>
      </c>
      <c r="DG82" s="2">
        <v>5.0246353563928898E-4</v>
      </c>
      <c r="DH82">
        <v>11756</v>
      </c>
      <c r="DI82">
        <v>99</v>
      </c>
      <c r="DJ82">
        <v>-7041.5</v>
      </c>
      <c r="DK82">
        <v>103</v>
      </c>
      <c r="DL82">
        <v>0.50898037719726497</v>
      </c>
      <c r="DM82">
        <v>87</v>
      </c>
      <c r="DN82">
        <v>1.0576953124999999</v>
      </c>
      <c r="DO82">
        <v>75.046592712402301</v>
      </c>
      <c r="DP82">
        <v>27.528038024902301</v>
      </c>
      <c r="DQ82" t="s">
        <v>1635</v>
      </c>
      <c r="DR82" t="s">
        <v>1636</v>
      </c>
      <c r="DS82" t="s">
        <v>1637</v>
      </c>
      <c r="DT82" t="s">
        <v>1638</v>
      </c>
      <c r="DU82" t="s">
        <v>1632</v>
      </c>
      <c r="DV82" t="s">
        <v>1633</v>
      </c>
      <c r="DW82" t="s">
        <v>1639</v>
      </c>
      <c r="DX82">
        <v>2.6868769107906899E-2</v>
      </c>
      <c r="DY82">
        <v>101.717866981244</v>
      </c>
      <c r="DZ82">
        <v>22.2328386447277</v>
      </c>
      <c r="EA82">
        <v>7.2489211376123599</v>
      </c>
      <c r="EB82">
        <v>2.1821426986239398</v>
      </c>
      <c r="EC82">
        <v>2.5434964782601601</v>
      </c>
      <c r="ED82">
        <v>14.3373533505933</v>
      </c>
      <c r="EE82">
        <v>7.2489211376123199</v>
      </c>
      <c r="EF82">
        <v>203.435733962489</v>
      </c>
      <c r="EG82">
        <v>68.115515619576399</v>
      </c>
      <c r="EH82">
        <v>7.24891555139925</v>
      </c>
      <c r="EI82">
        <v>1.1389263747109701E-2</v>
      </c>
      <c r="EJ82">
        <v>20.806727685514801</v>
      </c>
      <c r="EK82">
        <v>2.5434964782601601</v>
      </c>
      <c r="EL82">
        <v>0.43462206620946198</v>
      </c>
      <c r="EM82">
        <v>0.987627027169098</v>
      </c>
      <c r="EN82">
        <v>0.35961629598609901</v>
      </c>
      <c r="EO82">
        <v>0.99948390773446205</v>
      </c>
      <c r="EP82" s="2">
        <v>5.2173727875064702E-5</v>
      </c>
      <c r="EQ82">
        <v>0.532072174453321</v>
      </c>
      <c r="ER82">
        <v>10358.3539380162</v>
      </c>
      <c r="ES82">
        <v>68.115515619576399</v>
      </c>
      <c r="ET82">
        <v>-2646.6671127084201</v>
      </c>
      <c r="EU82">
        <v>298215.26306720998</v>
      </c>
      <c r="EV82">
        <v>0.89512965884092499</v>
      </c>
      <c r="EW82">
        <v>1.55652673768783</v>
      </c>
      <c r="EX82" s="2">
        <v>1.01376634424929E-4</v>
      </c>
      <c r="EY82">
        <v>10299.452892257899</v>
      </c>
      <c r="EZ82" s="2">
        <v>9.1269409610420096E-5</v>
      </c>
      <c r="FA82">
        <v>9207.1211333449501</v>
      </c>
      <c r="FB82" s="2">
        <v>1.5500639920246499E-4</v>
      </c>
      <c r="FC82">
        <v>16094.696559783901</v>
      </c>
      <c r="FD82">
        <v>25262.7372551275</v>
      </c>
      <c r="FE82">
        <v>227899.99603233699</v>
      </c>
      <c r="FF82">
        <v>0.86016068067556395</v>
      </c>
      <c r="FG82" s="2">
        <v>2.4195447949560801E-5</v>
      </c>
      <c r="FH82">
        <v>4.7938263792812299E-3</v>
      </c>
      <c r="FI82">
        <v>1.2931712623977201</v>
      </c>
      <c r="FJ82">
        <v>27044.245341980801</v>
      </c>
      <c r="FK82">
        <v>1.2981855205117501</v>
      </c>
      <c r="FL82">
        <v>0.70717059944021399</v>
      </c>
      <c r="FM82">
        <v>96525.788572127698</v>
      </c>
      <c r="FN82" s="2">
        <v>1.21859237979889E-4</v>
      </c>
      <c r="FO82">
        <v>9813.9507612172492</v>
      </c>
      <c r="FP82" s="2">
        <v>9.2384824126622998E-5</v>
      </c>
      <c r="FQ82">
        <v>6820.5484539623603</v>
      </c>
      <c r="FR82">
        <v>9.3686437342370095</v>
      </c>
      <c r="FS82" s="2">
        <v>995394700.67264998</v>
      </c>
      <c r="FT82">
        <v>2563.9241229833401</v>
      </c>
      <c r="FU82">
        <v>4.4815229990444801E-2</v>
      </c>
      <c r="FV82">
        <v>26447.935204768299</v>
      </c>
      <c r="FW82">
        <v>0.46228758813459497</v>
      </c>
      <c r="FX82">
        <v>0.164417378909191</v>
      </c>
      <c r="FY82">
        <v>153.74199974654499</v>
      </c>
      <c r="FZ82">
        <v>96488.7968492488</v>
      </c>
      <c r="GA82">
        <v>6.82085437844772</v>
      </c>
    </row>
    <row r="83" spans="1:183" x14ac:dyDescent="0.2">
      <c r="A83" t="s">
        <v>2507</v>
      </c>
      <c r="B83" t="s">
        <v>182</v>
      </c>
      <c r="C83" t="s">
        <v>1640</v>
      </c>
      <c r="D83" s="1">
        <v>43985</v>
      </c>
      <c r="E83" t="s">
        <v>457</v>
      </c>
      <c r="F83" t="s">
        <v>185</v>
      </c>
      <c r="G83" t="s">
        <v>186</v>
      </c>
      <c r="H83">
        <v>1</v>
      </c>
      <c r="I83">
        <v>400</v>
      </c>
      <c r="J83">
        <v>10</v>
      </c>
      <c r="K83" t="s">
        <v>187</v>
      </c>
      <c r="L83" t="s">
        <v>1641</v>
      </c>
      <c r="M83">
        <v>2</v>
      </c>
      <c r="N83">
        <v>0.669921875</v>
      </c>
      <c r="O83">
        <v>0.669921875</v>
      </c>
      <c r="P83" t="s">
        <v>1642</v>
      </c>
      <c r="Q83">
        <v>0</v>
      </c>
      <c r="R83" t="s">
        <v>194</v>
      </c>
      <c r="T83">
        <v>25031.2970978419</v>
      </c>
      <c r="U83">
        <v>25120.8691635131</v>
      </c>
      <c r="V83">
        <v>27987</v>
      </c>
      <c r="W83">
        <v>9097.0253389471909</v>
      </c>
      <c r="X83">
        <v>0.36342604633666797</v>
      </c>
      <c r="Y83">
        <v>34.662968435711797</v>
      </c>
      <c r="Z83">
        <v>1.62764358913501E-2</v>
      </c>
      <c r="AA83">
        <v>9.4128441939392196E-2</v>
      </c>
      <c r="AB83">
        <v>2.1983307929979299</v>
      </c>
      <c r="AC83">
        <v>0.454890593892953</v>
      </c>
      <c r="AD83">
        <v>1.1983307929979301</v>
      </c>
      <c r="AE83" t="s">
        <v>1643</v>
      </c>
      <c r="AF83" t="s">
        <v>1644</v>
      </c>
      <c r="AG83" t="s">
        <v>1645</v>
      </c>
      <c r="AH83" t="s">
        <v>193</v>
      </c>
      <c r="AI83" t="s">
        <v>193</v>
      </c>
      <c r="AJ83" t="s">
        <v>193</v>
      </c>
      <c r="AK83" t="s">
        <v>193</v>
      </c>
      <c r="AL83" t="s">
        <v>193</v>
      </c>
      <c r="AM83" t="s">
        <v>193</v>
      </c>
      <c r="AN83" t="s">
        <v>193</v>
      </c>
      <c r="AO83" t="s">
        <v>193</v>
      </c>
      <c r="AP83" t="s">
        <v>193</v>
      </c>
      <c r="AQ83">
        <v>0.13670223850987601</v>
      </c>
      <c r="AR83" t="s">
        <v>193</v>
      </c>
      <c r="AS83" t="s">
        <v>193</v>
      </c>
      <c r="AT83">
        <v>63.973894889800199</v>
      </c>
      <c r="AU83" t="s">
        <v>193</v>
      </c>
      <c r="AV83" s="2">
        <v>26991649.152340699</v>
      </c>
      <c r="AW83">
        <v>54.3160395898094</v>
      </c>
      <c r="AX83">
        <v>8199.8391978356594</v>
      </c>
      <c r="AY83">
        <v>-5.0726206574795203</v>
      </c>
      <c r="AZ83">
        <v>36.586553355033203</v>
      </c>
      <c r="BA83">
        <v>72</v>
      </c>
      <c r="BB83">
        <v>-1024</v>
      </c>
      <c r="BC83">
        <v>8</v>
      </c>
      <c r="BD83">
        <v>53</v>
      </c>
      <c r="BE83">
        <v>72</v>
      </c>
      <c r="BF83">
        <v>89</v>
      </c>
      <c r="BG83">
        <v>106</v>
      </c>
      <c r="BH83">
        <v>90.552963495601006</v>
      </c>
      <c r="BI83">
        <v>571</v>
      </c>
      <c r="BJ83">
        <v>36</v>
      </c>
      <c r="BK83">
        <v>1595</v>
      </c>
      <c r="BL83">
        <v>43.780878030919403</v>
      </c>
      <c r="BM83">
        <v>16.221698539962901</v>
      </c>
      <c r="BN83">
        <v>39.456354736127402</v>
      </c>
      <c r="BO83">
        <v>1.6671495966835901</v>
      </c>
      <c r="BP83">
        <v>0.25352112676056299</v>
      </c>
      <c r="BQ83" t="s">
        <v>194</v>
      </c>
      <c r="BR83" s="2">
        <v>312057047</v>
      </c>
      <c r="BS83">
        <v>105.593898282796</v>
      </c>
      <c r="BT83">
        <v>1364.4661240158</v>
      </c>
      <c r="BU83">
        <v>17710.360862731901</v>
      </c>
      <c r="BV83">
        <v>0.50713870239257797</v>
      </c>
      <c r="BW83">
        <v>99.644248962402301</v>
      </c>
      <c r="BX83">
        <v>1.00799426269531</v>
      </c>
      <c r="BY83">
        <v>91.352630615234304</v>
      </c>
      <c r="BZ83" t="s">
        <v>194</v>
      </c>
      <c r="CA83" t="s">
        <v>1646</v>
      </c>
      <c r="CB83" t="s">
        <v>1647</v>
      </c>
      <c r="CC83" t="s">
        <v>1648</v>
      </c>
      <c r="CD83" t="s">
        <v>1649</v>
      </c>
      <c r="CE83" t="s">
        <v>1650</v>
      </c>
      <c r="CF83" t="s">
        <v>1651</v>
      </c>
      <c r="CG83" t="s">
        <v>1652</v>
      </c>
      <c r="CH83">
        <v>105.984957301604</v>
      </c>
      <c r="CI83">
        <v>82.019890199877807</v>
      </c>
      <c r="CJ83">
        <v>-5.0513784839478699</v>
      </c>
      <c r="CK83">
        <v>36.2786923883546</v>
      </c>
      <c r="CL83">
        <v>108</v>
      </c>
      <c r="CM83">
        <v>1</v>
      </c>
      <c r="CN83">
        <v>101</v>
      </c>
      <c r="CO83">
        <v>106</v>
      </c>
      <c r="CP83">
        <v>108</v>
      </c>
      <c r="CQ83">
        <v>109</v>
      </c>
      <c r="CR83">
        <v>111</v>
      </c>
      <c r="CS83">
        <v>9.05648332410974</v>
      </c>
      <c r="CT83">
        <v>158</v>
      </c>
      <c r="CU83">
        <v>108</v>
      </c>
      <c r="CV83">
        <v>3</v>
      </c>
      <c r="CW83">
        <v>157</v>
      </c>
      <c r="CX83">
        <v>4.3719018669724097</v>
      </c>
      <c r="CY83">
        <v>1.7429059365156601</v>
      </c>
      <c r="CZ83">
        <v>3.9490120413048899</v>
      </c>
      <c r="DA83">
        <v>8.54506484192607E-2</v>
      </c>
      <c r="DB83">
        <v>1.3953488372093001E-2</v>
      </c>
      <c r="DC83">
        <v>1.2211950675738199</v>
      </c>
      <c r="DD83">
        <v>4.05672220431134</v>
      </c>
      <c r="DE83">
        <v>1059.84957301598</v>
      </c>
      <c r="DF83">
        <v>9.4210296140370006E-2</v>
      </c>
      <c r="DG83">
        <v>1.8347251346545301E-3</v>
      </c>
      <c r="DH83">
        <v>1197.5</v>
      </c>
      <c r="DI83">
        <v>106</v>
      </c>
      <c r="DJ83">
        <v>-1105</v>
      </c>
      <c r="DK83">
        <v>110</v>
      </c>
      <c r="DL83">
        <v>0.50713870239257797</v>
      </c>
      <c r="DM83">
        <v>99.644248962402301</v>
      </c>
      <c r="DN83">
        <v>1.00799426269531</v>
      </c>
      <c r="DO83">
        <v>91.352630615234304</v>
      </c>
      <c r="DP83" t="s">
        <v>194</v>
      </c>
      <c r="DQ83" t="s">
        <v>1653</v>
      </c>
      <c r="DR83" t="s">
        <v>1654</v>
      </c>
      <c r="DS83" t="s">
        <v>1655</v>
      </c>
      <c r="DT83" t="s">
        <v>1656</v>
      </c>
      <c r="DU83" t="s">
        <v>1650</v>
      </c>
      <c r="DV83" t="s">
        <v>1651</v>
      </c>
      <c r="DW83" t="s">
        <v>1657</v>
      </c>
      <c r="DX83">
        <v>3.6979171784466101E-2</v>
      </c>
      <c r="DY83">
        <v>106.573005204597</v>
      </c>
      <c r="DZ83">
        <v>55.612067646646501</v>
      </c>
      <c r="EA83">
        <v>7.3604923213213604</v>
      </c>
      <c r="EB83">
        <v>2.2157289715721999</v>
      </c>
      <c r="EC83">
        <v>3.1998447464355499</v>
      </c>
      <c r="ED83">
        <v>36.538987552336103</v>
      </c>
      <c r="EE83">
        <v>7.3604923213214803</v>
      </c>
      <c r="EF83">
        <v>213.14601040919399</v>
      </c>
      <c r="EG83">
        <v>175.67027663296099</v>
      </c>
      <c r="EH83">
        <v>7.3604923213213604</v>
      </c>
      <c r="EI83">
        <v>1.4827235529698699E-2</v>
      </c>
      <c r="EJ83">
        <v>46.777993953626897</v>
      </c>
      <c r="EK83">
        <v>3.1998447464355499</v>
      </c>
      <c r="EL83">
        <v>0.44691317112019002</v>
      </c>
      <c r="EM83">
        <v>0.98130615101802499</v>
      </c>
      <c r="EN83">
        <v>0.38101682047721103</v>
      </c>
      <c r="EO83">
        <v>0.99823514456092999</v>
      </c>
      <c r="EP83" s="2">
        <v>3.5742709047916198E-4</v>
      </c>
      <c r="EQ83">
        <v>0.57942586984132904</v>
      </c>
      <c r="ER83">
        <v>11390.0285090089</v>
      </c>
      <c r="ES83">
        <v>175.67027663296099</v>
      </c>
      <c r="ET83">
        <v>-12454.5670984794</v>
      </c>
      <c r="EU83">
        <v>1519890.3472003699</v>
      </c>
      <c r="EV83">
        <v>0.89162407181458003</v>
      </c>
      <c r="EW83">
        <v>1.60685823373156</v>
      </c>
      <c r="EX83" s="2">
        <v>4.20880339130511E-4</v>
      </c>
      <c r="EY83">
        <v>11256.717735799501</v>
      </c>
      <c r="EZ83" s="2">
        <v>3.7815564230602502E-4</v>
      </c>
      <c r="FA83">
        <v>9994.4192536477494</v>
      </c>
      <c r="FB83" s="2">
        <v>6.7915188717039001E-4</v>
      </c>
      <c r="FC83">
        <v>18328.0048107521</v>
      </c>
      <c r="FD83">
        <v>2083.9972163767402</v>
      </c>
      <c r="FE83">
        <v>18153.001001369601</v>
      </c>
      <c r="FF83">
        <v>0.85443516357869398</v>
      </c>
      <c r="FG83" s="2">
        <v>2.84378816062669E-4</v>
      </c>
      <c r="FH83">
        <v>2.0303332607060801E-2</v>
      </c>
      <c r="FI83">
        <v>0.13178181693510399</v>
      </c>
      <c r="FJ83">
        <v>23592.706670709402</v>
      </c>
      <c r="FK83">
        <v>11.340178011869099</v>
      </c>
      <c r="FL83">
        <v>0.71630516406863598</v>
      </c>
      <c r="FM83">
        <v>7249.8575221238898</v>
      </c>
      <c r="FN83" s="2">
        <v>4.3425509088028603E-4</v>
      </c>
      <c r="FO83">
        <v>10081.3499115044</v>
      </c>
      <c r="FP83" s="2">
        <v>1.8558630526599199E-4</v>
      </c>
      <c r="FQ83">
        <v>6894.9038190394404</v>
      </c>
      <c r="FR83">
        <v>0.63378819667011099</v>
      </c>
      <c r="FS83" s="2">
        <v>84513659.172920302</v>
      </c>
      <c r="FT83">
        <v>181.905132743362</v>
      </c>
      <c r="FU83">
        <v>3.2195598715639401E-2</v>
      </c>
      <c r="FV83">
        <v>2681.8548672566299</v>
      </c>
      <c r="FW83">
        <v>0.47466457827551101</v>
      </c>
      <c r="FX83">
        <v>0.20187944402758401</v>
      </c>
      <c r="FY83">
        <v>279.33360197352903</v>
      </c>
      <c r="FZ83">
        <v>7225.3208420706396</v>
      </c>
      <c r="GA83">
        <v>7.15413321682259</v>
      </c>
    </row>
    <row r="84" spans="1:183" x14ac:dyDescent="0.2">
      <c r="A84" t="s">
        <v>2508</v>
      </c>
      <c r="B84" t="s">
        <v>182</v>
      </c>
      <c r="C84" t="s">
        <v>1658</v>
      </c>
      <c r="D84" s="1">
        <v>42145</v>
      </c>
      <c r="E84" t="s">
        <v>571</v>
      </c>
      <c r="F84" t="s">
        <v>185</v>
      </c>
      <c r="G84" t="s">
        <v>186</v>
      </c>
      <c r="H84">
        <v>1</v>
      </c>
      <c r="I84">
        <v>400</v>
      </c>
      <c r="J84">
        <v>10</v>
      </c>
      <c r="K84" t="s">
        <v>187</v>
      </c>
      <c r="L84" t="s">
        <v>1659</v>
      </c>
      <c r="M84">
        <v>3</v>
      </c>
      <c r="N84">
        <v>0.619140625</v>
      </c>
      <c r="O84">
        <v>0.619140625</v>
      </c>
      <c r="P84" t="s">
        <v>1660</v>
      </c>
      <c r="Q84">
        <v>0</v>
      </c>
      <c r="R84" t="s">
        <v>194</v>
      </c>
      <c r="T84">
        <v>115417.890162467</v>
      </c>
      <c r="U84">
        <v>115541.036567687</v>
      </c>
      <c r="V84">
        <v>100470</v>
      </c>
      <c r="W84">
        <v>18530.006635166301</v>
      </c>
      <c r="X84">
        <v>0.160547092041645</v>
      </c>
      <c r="Y84">
        <v>21.8544676028216</v>
      </c>
      <c r="Z84">
        <v>2.58157551033141E-2</v>
      </c>
      <c r="AA84">
        <v>0.236794663795549</v>
      </c>
      <c r="AB84">
        <v>1.6163771271356699</v>
      </c>
      <c r="AC84">
        <v>0.61866750228770395</v>
      </c>
      <c r="AD84">
        <v>0.61637712713566895</v>
      </c>
      <c r="AE84" t="s">
        <v>1661</v>
      </c>
      <c r="AF84" t="s">
        <v>1662</v>
      </c>
      <c r="AG84" t="s">
        <v>1663</v>
      </c>
      <c r="AH84" t="s">
        <v>193</v>
      </c>
      <c r="AI84" t="s">
        <v>193</v>
      </c>
      <c r="AJ84" t="s">
        <v>193</v>
      </c>
      <c r="AK84" t="s">
        <v>193</v>
      </c>
      <c r="AL84" t="s">
        <v>193</v>
      </c>
      <c r="AM84" t="s">
        <v>193</v>
      </c>
      <c r="AN84" t="s">
        <v>193</v>
      </c>
      <c r="AO84" t="s">
        <v>193</v>
      </c>
      <c r="AP84" t="s">
        <v>193</v>
      </c>
      <c r="AQ84">
        <v>0.142744225507733</v>
      </c>
      <c r="AR84" t="s">
        <v>193</v>
      </c>
      <c r="AS84" t="s">
        <v>193</v>
      </c>
      <c r="AT84">
        <v>84.157183817977796</v>
      </c>
      <c r="AU84" t="s">
        <v>193</v>
      </c>
      <c r="AV84" s="2">
        <v>72161043.240453497</v>
      </c>
      <c r="AW84">
        <v>62.215407584353102</v>
      </c>
      <c r="AX84">
        <v>1810.9521065896199</v>
      </c>
      <c r="AY84">
        <v>-1.46383412438073</v>
      </c>
      <c r="AZ84">
        <v>15.702270499409501</v>
      </c>
      <c r="BA84">
        <v>65</v>
      </c>
      <c r="BB84">
        <v>-563</v>
      </c>
      <c r="BC84">
        <v>18</v>
      </c>
      <c r="BD84">
        <v>42</v>
      </c>
      <c r="BE84">
        <v>65</v>
      </c>
      <c r="BF84">
        <v>87</v>
      </c>
      <c r="BG84">
        <v>107</v>
      </c>
      <c r="BH84">
        <v>42.555282945712101</v>
      </c>
      <c r="BI84">
        <v>738</v>
      </c>
      <c r="BJ84">
        <v>45</v>
      </c>
      <c r="BK84">
        <v>1301</v>
      </c>
      <c r="BL84">
        <v>29.5562702143765</v>
      </c>
      <c r="BM84">
        <v>18.920668960037499</v>
      </c>
      <c r="BN84">
        <v>29.489061411366499</v>
      </c>
      <c r="BO84">
        <v>0.68399910244121898</v>
      </c>
      <c r="BP84">
        <v>0.34883720930232498</v>
      </c>
      <c r="BQ84" t="s">
        <v>194</v>
      </c>
      <c r="BR84" s="2">
        <v>570841308</v>
      </c>
      <c r="BS84">
        <v>75.377112225640801</v>
      </c>
      <c r="BT84">
        <v>7188.4326827773502</v>
      </c>
      <c r="BU84">
        <v>67844.565067291202</v>
      </c>
      <c r="BV84">
        <v>0.50025231933593695</v>
      </c>
      <c r="BW84">
        <v>97.657470703125</v>
      </c>
      <c r="BX84">
        <v>1.0131547241210901</v>
      </c>
      <c r="BY84">
        <v>90.677642822265597</v>
      </c>
      <c r="BZ84">
        <v>79.716148376464801</v>
      </c>
      <c r="CA84" t="s">
        <v>1664</v>
      </c>
      <c r="CB84" t="s">
        <v>1665</v>
      </c>
      <c r="CC84" t="s">
        <v>1666</v>
      </c>
      <c r="CD84" t="s">
        <v>1667</v>
      </c>
      <c r="CE84" t="s">
        <v>1668</v>
      </c>
      <c r="CF84" t="s">
        <v>1669</v>
      </c>
      <c r="CG84" t="s">
        <v>1670</v>
      </c>
      <c r="CH84">
        <v>106.769991042101</v>
      </c>
      <c r="CI84">
        <v>18.1905018711251</v>
      </c>
      <c r="CJ84">
        <v>-1.4545253296106</v>
      </c>
      <c r="CK84">
        <v>15.564505870439699</v>
      </c>
      <c r="CL84">
        <v>107</v>
      </c>
      <c r="CM84">
        <v>44</v>
      </c>
      <c r="CN84">
        <v>102</v>
      </c>
      <c r="CO84">
        <v>105</v>
      </c>
      <c r="CP84">
        <v>107</v>
      </c>
      <c r="CQ84">
        <v>109</v>
      </c>
      <c r="CR84">
        <v>111</v>
      </c>
      <c r="CS84">
        <v>4.2650324583905697</v>
      </c>
      <c r="CT84">
        <v>174</v>
      </c>
      <c r="CU84">
        <v>107</v>
      </c>
      <c r="CV84">
        <v>4</v>
      </c>
      <c r="CW84">
        <v>130</v>
      </c>
      <c r="CX84">
        <v>2.9663319383078002</v>
      </c>
      <c r="CY84">
        <v>2.0149605294822401</v>
      </c>
      <c r="CZ84">
        <v>2.9382601771673098</v>
      </c>
      <c r="DA84">
        <v>3.9945984979138698E-2</v>
      </c>
      <c r="DB84">
        <v>1.86915887850467E-2</v>
      </c>
      <c r="DC84">
        <v>1.1914274994660701</v>
      </c>
      <c r="DD84">
        <v>3.95783648349774</v>
      </c>
      <c r="DE84">
        <v>1067.6999104209399</v>
      </c>
      <c r="DF84">
        <v>8.1525124737462304E-2</v>
      </c>
      <c r="DG84" s="2">
        <v>9.0079825219975995E-4</v>
      </c>
      <c r="DH84">
        <v>2186.5</v>
      </c>
      <c r="DI84">
        <v>104</v>
      </c>
      <c r="DJ84">
        <v>-2194</v>
      </c>
      <c r="DK84">
        <v>110</v>
      </c>
      <c r="DL84">
        <v>0.50025231933593695</v>
      </c>
      <c r="DM84">
        <v>97.657470703125</v>
      </c>
      <c r="DN84">
        <v>1.0131547241210901</v>
      </c>
      <c r="DO84">
        <v>90.677642822265597</v>
      </c>
      <c r="DP84">
        <v>79.716148376464801</v>
      </c>
      <c r="DQ84" t="s">
        <v>1671</v>
      </c>
      <c r="DR84" t="s">
        <v>1672</v>
      </c>
      <c r="DS84" t="s">
        <v>1673</v>
      </c>
      <c r="DT84" t="s">
        <v>1674</v>
      </c>
      <c r="DU84" t="s">
        <v>1668</v>
      </c>
      <c r="DV84" t="s">
        <v>1669</v>
      </c>
      <c r="DW84" t="s">
        <v>1675</v>
      </c>
      <c r="DX84">
        <v>1.7639813825019401E-2</v>
      </c>
      <c r="DY84">
        <v>106.935881592313</v>
      </c>
      <c r="DZ84">
        <v>14.7856165887244</v>
      </c>
      <c r="EA84">
        <v>7.6689941409489002</v>
      </c>
      <c r="EB84">
        <v>2.3085972729968902</v>
      </c>
      <c r="EC84">
        <v>3.24627102270086</v>
      </c>
      <c r="ED84">
        <v>9.5265213411578902</v>
      </c>
      <c r="EE84">
        <v>7.6689941409491498</v>
      </c>
      <c r="EF84">
        <v>213.87176318462701</v>
      </c>
      <c r="EG84">
        <v>38.635192743066</v>
      </c>
      <c r="EH84">
        <v>7.6671508656736096</v>
      </c>
      <c r="EI84">
        <v>7.8266749432159104E-3</v>
      </c>
      <c r="EJ84">
        <v>20.0647968939852</v>
      </c>
      <c r="EK84">
        <v>3.24627102270086</v>
      </c>
      <c r="EL84">
        <v>0.36470346212336502</v>
      </c>
      <c r="EM84">
        <v>0.97630482401394703</v>
      </c>
      <c r="EN84">
        <v>0.27689645552084102</v>
      </c>
      <c r="EO84">
        <v>0.99884333505435596</v>
      </c>
      <c r="EP84" s="2">
        <v>1.9953663384825999E-7</v>
      </c>
      <c r="EQ84">
        <v>0.321475814904917</v>
      </c>
      <c r="ER84">
        <v>11440.035990067099</v>
      </c>
      <c r="ES84">
        <v>38.635192743066</v>
      </c>
      <c r="ET84">
        <v>-231.19583957816701</v>
      </c>
      <c r="EU84">
        <v>19349.331071738699</v>
      </c>
      <c r="EV84">
        <v>0.92363335393447199</v>
      </c>
      <c r="EW84">
        <v>1.3742729348462099</v>
      </c>
      <c r="EX84" s="2">
        <v>8.8300250404811298E-5</v>
      </c>
      <c r="EY84">
        <v>11411.158044309301</v>
      </c>
      <c r="EZ84" s="2">
        <v>8.1628540683527205E-5</v>
      </c>
      <c r="FA84">
        <v>10534.6027717615</v>
      </c>
      <c r="FB84" s="2">
        <v>1.20991948338513E-4</v>
      </c>
      <c r="FC84">
        <v>15707.3095712627</v>
      </c>
      <c r="FD84">
        <v>7136.71626120376</v>
      </c>
      <c r="FE84">
        <v>74148.492636502095</v>
      </c>
      <c r="FF84">
        <v>0.89885920787682505</v>
      </c>
      <c r="FG84" s="2">
        <v>7.4422478625317697E-5</v>
      </c>
      <c r="FH84">
        <v>9.5444712934098595E-3</v>
      </c>
      <c r="FI84">
        <v>0.76315944815591796</v>
      </c>
      <c r="FJ84">
        <v>10908.0824512198</v>
      </c>
      <c r="FK84">
        <v>0.81364340239310495</v>
      </c>
      <c r="FL84">
        <v>0.64835752587603701</v>
      </c>
      <c r="FM84">
        <v>10781.652771772</v>
      </c>
      <c r="FN84" s="2">
        <v>9.0750199287297897E-5</v>
      </c>
      <c r="FO84">
        <v>11235.8531522961</v>
      </c>
      <c r="FP84" s="2">
        <v>5.97068950665868E-5</v>
      </c>
      <c r="FQ84">
        <v>7218.3684609210004</v>
      </c>
      <c r="FR84">
        <v>0.94083108368820501</v>
      </c>
      <c r="FS84" s="2">
        <v>123595525.65938701</v>
      </c>
      <c r="FT84">
        <v>1158.6517339790701</v>
      </c>
      <c r="FU84">
        <v>5.0101692206999497E-2</v>
      </c>
      <c r="FV84">
        <v>9000.06884026636</v>
      </c>
      <c r="FW84">
        <v>0.38917533686181599</v>
      </c>
      <c r="FX84">
        <v>0.230178162635612</v>
      </c>
      <c r="FY84">
        <v>47.691426762557498</v>
      </c>
      <c r="FZ84">
        <v>10762.778432302401</v>
      </c>
      <c r="GA84">
        <v>6.7290876153796404</v>
      </c>
    </row>
    <row r="85" spans="1:183" x14ac:dyDescent="0.2">
      <c r="A85" t="s">
        <v>2509</v>
      </c>
      <c r="B85" t="s">
        <v>182</v>
      </c>
      <c r="C85" t="s">
        <v>1676</v>
      </c>
      <c r="D85" s="1">
        <v>42248</v>
      </c>
      <c r="E85" t="s">
        <v>400</v>
      </c>
      <c r="F85" t="s">
        <v>185</v>
      </c>
      <c r="G85" t="s">
        <v>186</v>
      </c>
      <c r="H85">
        <v>1</v>
      </c>
      <c r="I85">
        <v>400</v>
      </c>
      <c r="J85">
        <v>10</v>
      </c>
      <c r="K85" t="s">
        <v>187</v>
      </c>
      <c r="L85" t="s">
        <v>1677</v>
      </c>
      <c r="M85">
        <v>3</v>
      </c>
      <c r="N85">
        <v>0.697265625</v>
      </c>
      <c r="O85">
        <v>0.697265625</v>
      </c>
      <c r="P85" t="s">
        <v>1678</v>
      </c>
      <c r="Q85">
        <v>0</v>
      </c>
      <c r="R85" t="s">
        <v>194</v>
      </c>
      <c r="T85">
        <v>5433.9658427238401</v>
      </c>
      <c r="U85">
        <v>5476.8103981018003</v>
      </c>
      <c r="V85">
        <v>3755</v>
      </c>
      <c r="W85">
        <v>2091.9040293623598</v>
      </c>
      <c r="X85">
        <v>0.38496819632450402</v>
      </c>
      <c r="Y85">
        <v>17.607420270605001</v>
      </c>
      <c r="Z85">
        <v>3.2042716927115598E-2</v>
      </c>
      <c r="AA85">
        <v>0.36480510947288503</v>
      </c>
      <c r="AB85">
        <v>1.39952189055748</v>
      </c>
      <c r="AC85">
        <v>0.71452973100811001</v>
      </c>
      <c r="AD85">
        <v>0.399521890557482</v>
      </c>
      <c r="AE85" t="s">
        <v>1679</v>
      </c>
      <c r="AF85" t="s">
        <v>1680</v>
      </c>
      <c r="AG85" t="s">
        <v>1681</v>
      </c>
      <c r="AH85" t="s">
        <v>193</v>
      </c>
      <c r="AI85" t="s">
        <v>193</v>
      </c>
      <c r="AJ85" t="s">
        <v>193</v>
      </c>
      <c r="AK85" t="s">
        <v>193</v>
      </c>
      <c r="AL85" t="s">
        <v>193</v>
      </c>
      <c r="AM85" t="s">
        <v>193</v>
      </c>
      <c r="AN85" t="s">
        <v>193</v>
      </c>
      <c r="AO85" t="s">
        <v>193</v>
      </c>
      <c r="AP85" t="s">
        <v>193</v>
      </c>
      <c r="AQ85">
        <v>7.4803389285835006E-2</v>
      </c>
      <c r="AR85" t="s">
        <v>193</v>
      </c>
      <c r="AS85" t="s">
        <v>193</v>
      </c>
      <c r="AT85">
        <v>30.3634702204746</v>
      </c>
      <c r="AU85" t="s">
        <v>193</v>
      </c>
      <c r="AV85">
        <v>2351092.5113197202</v>
      </c>
      <c r="AW85">
        <v>16.666045272969299</v>
      </c>
      <c r="AX85">
        <v>1904.9457312309801</v>
      </c>
      <c r="AY85">
        <v>-2.7850949183253402</v>
      </c>
      <c r="AZ85">
        <v>13.7696656861511</v>
      </c>
      <c r="BA85">
        <v>25</v>
      </c>
      <c r="BB85">
        <v>-416</v>
      </c>
      <c r="BC85">
        <v>-30</v>
      </c>
      <c r="BD85">
        <v>8</v>
      </c>
      <c r="BE85">
        <v>25</v>
      </c>
      <c r="BF85">
        <v>40</v>
      </c>
      <c r="BG85">
        <v>54</v>
      </c>
      <c r="BH85">
        <v>43.645683993162201</v>
      </c>
      <c r="BI85">
        <v>106</v>
      </c>
      <c r="BJ85">
        <v>32</v>
      </c>
      <c r="BK85">
        <v>522</v>
      </c>
      <c r="BL85">
        <v>27.9697292735293</v>
      </c>
      <c r="BM85">
        <v>14.8766578249336</v>
      </c>
      <c r="BN85">
        <v>26.718508655126499</v>
      </c>
      <c r="BO85">
        <v>2.6188386793807199</v>
      </c>
      <c r="BP85">
        <v>0.66666666666666596</v>
      </c>
      <c r="BQ85" t="s">
        <v>194</v>
      </c>
      <c r="BR85">
        <v>8196049</v>
      </c>
      <c r="BS85">
        <v>46.719404922062502</v>
      </c>
      <c r="BT85">
        <v>91.276770046233807</v>
      </c>
      <c r="BU85">
        <v>0</v>
      </c>
      <c r="BV85">
        <v>0.50027856445312502</v>
      </c>
      <c r="BW85">
        <v>36.104957580566399</v>
      </c>
      <c r="BX85">
        <v>0.95242535400390604</v>
      </c>
      <c r="BY85">
        <v>30.115207672119102</v>
      </c>
      <c r="BZ85">
        <v>24.7464389801025</v>
      </c>
      <c r="CA85" t="s">
        <v>1682</v>
      </c>
      <c r="CB85" t="s">
        <v>1683</v>
      </c>
      <c r="CC85" t="s">
        <v>1684</v>
      </c>
      <c r="CD85" t="s">
        <v>1685</v>
      </c>
      <c r="CE85" t="s">
        <v>1686</v>
      </c>
      <c r="CF85" t="s">
        <v>1687</v>
      </c>
      <c r="CG85" t="s">
        <v>1688</v>
      </c>
      <c r="CH85">
        <v>102.210918774966</v>
      </c>
      <c r="CI85">
        <v>19.093196359580801</v>
      </c>
      <c r="CJ85">
        <v>-2.76253886015671</v>
      </c>
      <c r="CK85">
        <v>13.606404078774</v>
      </c>
      <c r="CL85">
        <v>103</v>
      </c>
      <c r="CM85">
        <v>59</v>
      </c>
      <c r="CN85">
        <v>98</v>
      </c>
      <c r="CO85">
        <v>101</v>
      </c>
      <c r="CP85">
        <v>103</v>
      </c>
      <c r="CQ85">
        <v>105</v>
      </c>
      <c r="CR85">
        <v>106</v>
      </c>
      <c r="CS85">
        <v>4.3695762219671597</v>
      </c>
      <c r="CT85">
        <v>111</v>
      </c>
      <c r="CU85">
        <v>103</v>
      </c>
      <c r="CV85">
        <v>4</v>
      </c>
      <c r="CW85">
        <v>52</v>
      </c>
      <c r="CX85">
        <v>2.8107706192010302</v>
      </c>
      <c r="CY85">
        <v>1.5251137349831001</v>
      </c>
      <c r="CZ85">
        <v>2.6537949400798899</v>
      </c>
      <c r="DA85">
        <v>4.27505815850013E-2</v>
      </c>
      <c r="DB85">
        <v>1.94174757281553E-2</v>
      </c>
      <c r="DC85">
        <v>1.12013658410628</v>
      </c>
      <c r="DD85">
        <v>3.7210131888538398</v>
      </c>
      <c r="DE85">
        <v>1022.10918774968</v>
      </c>
      <c r="DF85">
        <v>0.105834493201253</v>
      </c>
      <c r="DG85">
        <v>5.3089501396121298E-3</v>
      </c>
      <c r="DH85">
        <v>201</v>
      </c>
      <c r="DI85">
        <v>102</v>
      </c>
      <c r="DJ85">
        <v>-154.5</v>
      </c>
      <c r="DK85">
        <v>106</v>
      </c>
      <c r="DL85">
        <v>0.50027856445312502</v>
      </c>
      <c r="DM85">
        <v>36.104957580566399</v>
      </c>
      <c r="DN85">
        <v>0.95242535400390604</v>
      </c>
      <c r="DO85">
        <v>30.115207672119102</v>
      </c>
      <c r="DP85">
        <v>24.7464389801025</v>
      </c>
      <c r="DQ85" t="s">
        <v>1689</v>
      </c>
      <c r="DR85" t="s">
        <v>1690</v>
      </c>
      <c r="DS85" t="s">
        <v>1691</v>
      </c>
      <c r="DT85" t="s">
        <v>1692</v>
      </c>
      <c r="DU85" t="s">
        <v>1686</v>
      </c>
      <c r="DV85" t="s">
        <v>1687</v>
      </c>
      <c r="DW85" t="s">
        <v>1693</v>
      </c>
      <c r="DX85">
        <v>4.7631202777210502E-2</v>
      </c>
      <c r="DY85">
        <v>102.77668725750399</v>
      </c>
      <c r="DZ85">
        <v>12.2402197384183</v>
      </c>
      <c r="EA85">
        <v>6.8899574454623798</v>
      </c>
      <c r="EB85">
        <v>2.07408385993255</v>
      </c>
      <c r="EC85">
        <v>2.7072952828262098</v>
      </c>
      <c r="ED85">
        <v>10.994296380645499</v>
      </c>
      <c r="EE85">
        <v>6.8899574454624197</v>
      </c>
      <c r="EF85">
        <v>205.55337451500901</v>
      </c>
      <c r="EG85">
        <v>0</v>
      </c>
      <c r="EH85">
        <v>0</v>
      </c>
      <c r="EI85">
        <v>1.6645427327345998E-2</v>
      </c>
      <c r="EJ85">
        <v>18.3237441290585</v>
      </c>
      <c r="EK85">
        <v>2.7072952828262098</v>
      </c>
      <c r="EL85">
        <v>0.43560327866245901</v>
      </c>
      <c r="EM85">
        <v>0.95429881911339498</v>
      </c>
      <c r="EN85">
        <v>0.36474115857356898</v>
      </c>
      <c r="EO85">
        <v>0.99389574242023304</v>
      </c>
      <c r="EP85">
        <v>0</v>
      </c>
      <c r="EQ85">
        <v>0.25149447801390901</v>
      </c>
      <c r="ER85">
        <v>10566.125791300799</v>
      </c>
      <c r="ES85">
        <v>0</v>
      </c>
      <c r="ET85">
        <v>-364.69718587085703</v>
      </c>
      <c r="EU85">
        <v>13292.9556538665</v>
      </c>
      <c r="EV85">
        <v>0.90296340274940601</v>
      </c>
      <c r="EW85">
        <v>1.5246863519713101</v>
      </c>
      <c r="EX85" s="2">
        <v>9.6773291355884802E-5</v>
      </c>
      <c r="EY85">
        <v>10432.489350903101</v>
      </c>
      <c r="EZ85" s="2">
        <v>8.7681134447406797E-5</v>
      </c>
      <c r="FA85">
        <v>9395.1697977764306</v>
      </c>
      <c r="FB85" s="2">
        <v>1.4595287627524499E-4</v>
      </c>
      <c r="FC85">
        <v>16038.438070300501</v>
      </c>
      <c r="FD85">
        <v>320.12769577233399</v>
      </c>
      <c r="FE85">
        <v>2552.1972624783898</v>
      </c>
      <c r="FF85">
        <v>0.86987606268564899</v>
      </c>
      <c r="FG85">
        <v>1.8882516417667099E-3</v>
      </c>
      <c r="FH85">
        <v>4.7913941765360298E-2</v>
      </c>
      <c r="FI85">
        <v>7.73162890744932E-2</v>
      </c>
      <c r="FJ85">
        <v>2402.88731133796</v>
      </c>
      <c r="FK85">
        <v>3.7875808460403499</v>
      </c>
      <c r="FL85">
        <v>0.70735193058589696</v>
      </c>
      <c r="FM85">
        <v>922.49316628701501</v>
      </c>
      <c r="FN85" s="2">
        <v>1.04289448910748E-4</v>
      </c>
      <c r="FO85">
        <v>9805.5990888382694</v>
      </c>
      <c r="FP85" s="2">
        <v>7.5936282061400101E-5</v>
      </c>
      <c r="FQ85">
        <v>6760.1004864140596</v>
      </c>
      <c r="FR85">
        <v>8.6516267022135995E-2</v>
      </c>
      <c r="FS85">
        <v>9839477.8405466899</v>
      </c>
      <c r="FT85">
        <v>45.082004555808602</v>
      </c>
      <c r="FU85">
        <v>5.1346246646706901E-2</v>
      </c>
      <c r="FV85">
        <v>406.389521640091</v>
      </c>
      <c r="FW85">
        <v>0.46285822510260899</v>
      </c>
      <c r="FX85">
        <v>0.23382157123834801</v>
      </c>
      <c r="FY85">
        <v>47.399639893939899</v>
      </c>
      <c r="FZ85">
        <v>904.20244420690995</v>
      </c>
      <c r="GA85">
        <v>6.17916060545073</v>
      </c>
    </row>
    <row r="86" spans="1:183" x14ac:dyDescent="0.2">
      <c r="A86" t="s">
        <v>2510</v>
      </c>
      <c r="B86" t="s">
        <v>182</v>
      </c>
      <c r="C86" t="s">
        <v>1694</v>
      </c>
      <c r="D86" s="1">
        <v>42550</v>
      </c>
      <c r="E86" t="s">
        <v>362</v>
      </c>
      <c r="F86" t="s">
        <v>185</v>
      </c>
      <c r="G86" t="s">
        <v>186</v>
      </c>
      <c r="H86">
        <v>1</v>
      </c>
      <c r="I86">
        <v>400</v>
      </c>
      <c r="J86">
        <v>10</v>
      </c>
      <c r="K86" t="s">
        <v>187</v>
      </c>
      <c r="L86" t="s">
        <v>1695</v>
      </c>
      <c r="M86">
        <v>5</v>
      </c>
      <c r="N86">
        <v>0.630859375</v>
      </c>
      <c r="O86">
        <v>0.630859375</v>
      </c>
      <c r="P86" t="s">
        <v>1696</v>
      </c>
      <c r="Q86">
        <v>0</v>
      </c>
      <c r="R86" t="s">
        <v>194</v>
      </c>
      <c r="T86">
        <v>291079.44820642401</v>
      </c>
      <c r="U86">
        <v>290987.66324996902</v>
      </c>
      <c r="V86">
        <v>146231</v>
      </c>
      <c r="W86">
        <v>42157.7707306886</v>
      </c>
      <c r="X86">
        <v>0.14483252249671499</v>
      </c>
      <c r="Y86">
        <v>29.7375313940152</v>
      </c>
      <c r="Z86">
        <v>1.8972307286451402E-2</v>
      </c>
      <c r="AA86">
        <v>0.12789175481326201</v>
      </c>
      <c r="AB86">
        <v>1.98481096815045</v>
      </c>
      <c r="AC86">
        <v>0.50382631698768199</v>
      </c>
      <c r="AD86">
        <v>0.98481096815045399</v>
      </c>
      <c r="AE86" t="s">
        <v>1697</v>
      </c>
      <c r="AF86" t="s">
        <v>1698</v>
      </c>
      <c r="AG86" t="s">
        <v>1699</v>
      </c>
      <c r="AH86" t="s">
        <v>193</v>
      </c>
      <c r="AI86" t="s">
        <v>193</v>
      </c>
      <c r="AJ86" t="s">
        <v>193</v>
      </c>
      <c r="AK86" t="s">
        <v>193</v>
      </c>
      <c r="AL86" t="s">
        <v>193</v>
      </c>
      <c r="AM86" t="s">
        <v>193</v>
      </c>
      <c r="AN86" t="s">
        <v>193</v>
      </c>
      <c r="AO86" t="s">
        <v>193</v>
      </c>
      <c r="AP86" t="s">
        <v>193</v>
      </c>
      <c r="AQ86">
        <v>0.50259824646082096</v>
      </c>
      <c r="AR86" t="s">
        <v>193</v>
      </c>
      <c r="AS86" t="s">
        <v>193</v>
      </c>
      <c r="AT86">
        <v>136.16528814933901</v>
      </c>
      <c r="AU86" t="s">
        <v>193</v>
      </c>
      <c r="AV86" s="2">
        <v>82825398.862901494</v>
      </c>
      <c r="AW86">
        <v>65.545677729072693</v>
      </c>
      <c r="AX86">
        <v>709.17165748444404</v>
      </c>
      <c r="AY86">
        <v>-5.4584875046633799E-2</v>
      </c>
      <c r="AZ86">
        <v>4.31956178484183</v>
      </c>
      <c r="BA86">
        <v>64</v>
      </c>
      <c r="BB86">
        <v>-219</v>
      </c>
      <c r="BC86">
        <v>35</v>
      </c>
      <c r="BD86">
        <v>49</v>
      </c>
      <c r="BE86">
        <v>64</v>
      </c>
      <c r="BF86">
        <v>81</v>
      </c>
      <c r="BG86">
        <v>98</v>
      </c>
      <c r="BH86">
        <v>26.630277082382001</v>
      </c>
      <c r="BI86">
        <v>448</v>
      </c>
      <c r="BJ86">
        <v>32</v>
      </c>
      <c r="BK86">
        <v>667</v>
      </c>
      <c r="BL86">
        <v>20.053227313981999</v>
      </c>
      <c r="BM86">
        <v>13.425252679995401</v>
      </c>
      <c r="BN86">
        <v>20.0214728751085</v>
      </c>
      <c r="BO86">
        <v>0.40628578428093998</v>
      </c>
      <c r="BP86">
        <v>0.246153846153846</v>
      </c>
      <c r="BQ86" t="s">
        <v>194</v>
      </c>
      <c r="BR86" s="2">
        <v>731945748</v>
      </c>
      <c r="BS86">
        <v>70.748904772073104</v>
      </c>
      <c r="BT86">
        <v>19072.9835985184</v>
      </c>
      <c r="BU86">
        <v>174156.93862279199</v>
      </c>
      <c r="BV86">
        <v>0.50742901611328095</v>
      </c>
      <c r="BW86">
        <v>118.901962280273</v>
      </c>
      <c r="BX86">
        <v>0.96908996582031204</v>
      </c>
      <c r="BY86">
        <v>114.772071838378</v>
      </c>
      <c r="BZ86">
        <v>87.322036743164006</v>
      </c>
      <c r="CA86" t="s">
        <v>1700</v>
      </c>
      <c r="CB86" t="s">
        <v>1701</v>
      </c>
      <c r="CC86" t="s">
        <v>1702</v>
      </c>
      <c r="CD86" t="s">
        <v>1703</v>
      </c>
      <c r="CE86" t="s">
        <v>1704</v>
      </c>
      <c r="CF86" t="s">
        <v>1705</v>
      </c>
      <c r="CG86" t="s">
        <v>1706</v>
      </c>
      <c r="CH86">
        <v>107.104512723021</v>
      </c>
      <c r="CI86">
        <v>7.1700920601933298</v>
      </c>
      <c r="CJ86">
        <v>-5.08969738198225E-2</v>
      </c>
      <c r="CK86">
        <v>4.2246422728157</v>
      </c>
      <c r="CL86">
        <v>107</v>
      </c>
      <c r="CM86">
        <v>79</v>
      </c>
      <c r="CN86">
        <v>104</v>
      </c>
      <c r="CO86">
        <v>105</v>
      </c>
      <c r="CP86">
        <v>107</v>
      </c>
      <c r="CQ86">
        <v>109</v>
      </c>
      <c r="CR86">
        <v>110</v>
      </c>
      <c r="CS86">
        <v>2.6777027579985999</v>
      </c>
      <c r="CT86">
        <v>145</v>
      </c>
      <c r="CU86">
        <v>107</v>
      </c>
      <c r="CV86">
        <v>4</v>
      </c>
      <c r="CW86">
        <v>66</v>
      </c>
      <c r="CX86">
        <v>2.0061636337817901</v>
      </c>
      <c r="CY86">
        <v>1.40431902432903</v>
      </c>
      <c r="CZ86">
        <v>1.9879163788799901</v>
      </c>
      <c r="DA86">
        <v>2.50008397398091E-2</v>
      </c>
      <c r="DB86">
        <v>1.86915887850467E-2</v>
      </c>
      <c r="DC86">
        <v>1.02683241704339</v>
      </c>
      <c r="DD86">
        <v>3.41106345491754</v>
      </c>
      <c r="DE86">
        <v>1071.04512723019</v>
      </c>
      <c r="DF86">
        <v>0.115571674488285</v>
      </c>
      <c r="DG86" s="2">
        <v>8.8900863206713696E-4</v>
      </c>
      <c r="DH86">
        <v>6993</v>
      </c>
      <c r="DI86">
        <v>105</v>
      </c>
      <c r="DJ86">
        <v>-5535.5</v>
      </c>
      <c r="DK86">
        <v>109</v>
      </c>
      <c r="DL86">
        <v>0.50742901611328095</v>
      </c>
      <c r="DM86">
        <v>118.901962280273</v>
      </c>
      <c r="DN86">
        <v>0.96908996582031204</v>
      </c>
      <c r="DO86">
        <v>114.772071838378</v>
      </c>
      <c r="DP86">
        <v>87.322036743164006</v>
      </c>
      <c r="DQ86" t="s">
        <v>1707</v>
      </c>
      <c r="DR86" t="s">
        <v>1708</v>
      </c>
      <c r="DS86" t="s">
        <v>1709</v>
      </c>
      <c r="DT86" t="s">
        <v>1710</v>
      </c>
      <c r="DU86" t="s">
        <v>1704</v>
      </c>
      <c r="DV86" t="s">
        <v>1705</v>
      </c>
      <c r="DW86" t="s">
        <v>1711</v>
      </c>
      <c r="DX86">
        <v>4.8835131759358302E-2</v>
      </c>
      <c r="DY86">
        <v>107.213404612986</v>
      </c>
      <c r="DZ86">
        <v>6.76435650556577</v>
      </c>
      <c r="EA86">
        <v>6.3139590816051099</v>
      </c>
      <c r="EB86">
        <v>1.9006910749581201</v>
      </c>
      <c r="EC86">
        <v>1.53183167108055</v>
      </c>
      <c r="ED86">
        <v>2.6009194657394801</v>
      </c>
      <c r="EE86">
        <v>6.3139590816051596</v>
      </c>
      <c r="EF86">
        <v>214.42680922597199</v>
      </c>
      <c r="EG86">
        <v>0</v>
      </c>
      <c r="EH86">
        <v>0</v>
      </c>
      <c r="EI86">
        <v>2.05856632119495E-2</v>
      </c>
      <c r="EJ86">
        <v>4.94742773426493</v>
      </c>
      <c r="EK86">
        <v>1.53183167108055</v>
      </c>
      <c r="EL86">
        <v>0.53887971794200296</v>
      </c>
      <c r="EM86">
        <v>0.97816046837969195</v>
      </c>
      <c r="EN86">
        <v>0.486950907122562</v>
      </c>
      <c r="EO86">
        <v>0.99890938765399095</v>
      </c>
      <c r="EP86">
        <v>0</v>
      </c>
      <c r="EQ86">
        <v>0.63430167154893802</v>
      </c>
      <c r="ER86">
        <v>11499.004771346299</v>
      </c>
      <c r="ES86">
        <v>0</v>
      </c>
      <c r="ET86">
        <v>9.1570118788960695</v>
      </c>
      <c r="EU86">
        <v>2419.9119310603201</v>
      </c>
      <c r="EV86">
        <v>0.82510716082316204</v>
      </c>
      <c r="EW86">
        <v>2.2617085913648398</v>
      </c>
      <c r="EX86" s="2">
        <v>8.7340930906817195E-5</v>
      </c>
      <c r="EY86">
        <v>11481.0262589209</v>
      </c>
      <c r="EZ86" s="2">
        <v>7.2074372737904901E-5</v>
      </c>
      <c r="FA86">
        <v>9473.8083565539691</v>
      </c>
      <c r="FB86" s="2">
        <v>1.9758289835137001E-4</v>
      </c>
      <c r="FC86">
        <v>25945.509002124501</v>
      </c>
      <c r="FD86">
        <v>12535.0959849634</v>
      </c>
      <c r="FE86">
        <v>75066.617132856903</v>
      </c>
      <c r="FF86">
        <v>0.774073475949275</v>
      </c>
      <c r="FG86" s="2">
        <v>6.6858477530809806E-5</v>
      </c>
      <c r="FH86">
        <v>5.5628650119508398E-3</v>
      </c>
      <c r="FI86">
        <v>1.55348877358391</v>
      </c>
      <c r="FJ86">
        <v>1533.2958743967099</v>
      </c>
      <c r="FK86">
        <v>0.190137920579176</v>
      </c>
      <c r="FL86">
        <v>0.54545508451994495</v>
      </c>
      <c r="FM86">
        <v>199944.388279684</v>
      </c>
      <c r="FN86" s="2">
        <v>8.8483948826720697E-5</v>
      </c>
      <c r="FO86">
        <v>11405.8101638957</v>
      </c>
      <c r="FP86" s="2">
        <v>4.85061527411849E-5</v>
      </c>
      <c r="FQ86">
        <v>6202.7510291337703</v>
      </c>
      <c r="FR86">
        <v>17.476095423405599</v>
      </c>
      <c r="FS86" s="2">
        <v>2289041862.2127099</v>
      </c>
      <c r="FT86">
        <v>533.42730810045896</v>
      </c>
      <c r="FU86">
        <v>6.2896746621914801E-2</v>
      </c>
      <c r="FV86">
        <v>2384.7960146209098</v>
      </c>
      <c r="FW86">
        <v>0.28119278559378802</v>
      </c>
      <c r="FX86">
        <v>5.7997278278887503E-2</v>
      </c>
      <c r="FY86">
        <v>25.516820448897001</v>
      </c>
      <c r="FZ86">
        <v>199647.09521813199</v>
      </c>
      <c r="GA86">
        <v>6.9532232702708701</v>
      </c>
    </row>
    <row r="87" spans="1:183" x14ac:dyDescent="0.2">
      <c r="A87" t="s">
        <v>2511</v>
      </c>
      <c r="B87" t="s">
        <v>182</v>
      </c>
      <c r="C87" t="s">
        <v>1712</v>
      </c>
      <c r="D87" s="1">
        <v>43368</v>
      </c>
      <c r="E87" t="s">
        <v>1713</v>
      </c>
      <c r="F87" t="s">
        <v>185</v>
      </c>
      <c r="G87" t="s">
        <v>186</v>
      </c>
      <c r="H87">
        <v>1</v>
      </c>
      <c r="I87">
        <v>400</v>
      </c>
      <c r="J87">
        <v>10</v>
      </c>
      <c r="K87" t="s">
        <v>187</v>
      </c>
      <c r="L87" t="s">
        <v>1714</v>
      </c>
      <c r="M87">
        <v>2</v>
      </c>
      <c r="N87">
        <v>0.640625</v>
      </c>
      <c r="O87">
        <v>0.640625</v>
      </c>
      <c r="P87" t="s">
        <v>1715</v>
      </c>
      <c r="Q87">
        <v>0</v>
      </c>
      <c r="R87" t="s">
        <v>194</v>
      </c>
      <c r="T87">
        <v>2998.4194539388</v>
      </c>
      <c r="U87">
        <v>3029.57568359375</v>
      </c>
      <c r="V87">
        <v>3691</v>
      </c>
      <c r="W87">
        <v>1789.35783650958</v>
      </c>
      <c r="X87">
        <v>0.59676701808982702</v>
      </c>
      <c r="Y87">
        <v>25.243723378294799</v>
      </c>
      <c r="Z87">
        <v>2.2349697589891099E-2</v>
      </c>
      <c r="AA87">
        <v>0.17747841782447399</v>
      </c>
      <c r="AB87">
        <v>1.7794460162912</v>
      </c>
      <c r="AC87">
        <v>0.56197265376121897</v>
      </c>
      <c r="AD87">
        <v>0.77944601629120602</v>
      </c>
      <c r="AE87" t="s">
        <v>1716</v>
      </c>
      <c r="AF87" t="s">
        <v>1717</v>
      </c>
      <c r="AG87" t="s">
        <v>1718</v>
      </c>
      <c r="AH87" t="s">
        <v>193</v>
      </c>
      <c r="AI87" t="s">
        <v>193</v>
      </c>
      <c r="AJ87" t="s">
        <v>193</v>
      </c>
      <c r="AK87" t="s">
        <v>193</v>
      </c>
      <c r="AL87" t="s">
        <v>193</v>
      </c>
      <c r="AM87" t="s">
        <v>193</v>
      </c>
      <c r="AN87" t="s">
        <v>193</v>
      </c>
      <c r="AO87" t="s">
        <v>193</v>
      </c>
      <c r="AP87" t="s">
        <v>193</v>
      </c>
      <c r="AQ87">
        <v>0.16046593607295701</v>
      </c>
      <c r="AR87" t="s">
        <v>193</v>
      </c>
      <c r="AS87" t="s">
        <v>193</v>
      </c>
      <c r="AT87">
        <v>27.173058754404298</v>
      </c>
      <c r="AU87" t="s">
        <v>193</v>
      </c>
      <c r="AV87">
        <v>949546.88139331201</v>
      </c>
      <c r="AW87">
        <v>49.6824708751017</v>
      </c>
      <c r="AX87">
        <v>913.14653369429004</v>
      </c>
      <c r="AY87">
        <v>-0.506120702237703</v>
      </c>
      <c r="AZ87">
        <v>14.833736809977401</v>
      </c>
      <c r="BA87">
        <v>49</v>
      </c>
      <c r="BB87">
        <v>-267</v>
      </c>
      <c r="BC87">
        <v>20</v>
      </c>
      <c r="BD87">
        <v>34</v>
      </c>
      <c r="BE87">
        <v>49</v>
      </c>
      <c r="BF87">
        <v>65</v>
      </c>
      <c r="BG87">
        <v>82</v>
      </c>
      <c r="BH87">
        <v>30.2183145409251</v>
      </c>
      <c r="BI87">
        <v>313</v>
      </c>
      <c r="BJ87">
        <v>31</v>
      </c>
      <c r="BK87">
        <v>580</v>
      </c>
      <c r="BL87">
        <v>20.604291810587799</v>
      </c>
      <c r="BM87">
        <v>13.1916826153351</v>
      </c>
      <c r="BN87">
        <v>20.5952316445407</v>
      </c>
      <c r="BO87">
        <v>0.60822889861681595</v>
      </c>
      <c r="BP87">
        <v>0.31313131313131298</v>
      </c>
      <c r="BQ87" t="s">
        <v>194</v>
      </c>
      <c r="BR87" s="2">
        <v>12481096</v>
      </c>
      <c r="BS87">
        <v>58.150618620523701</v>
      </c>
      <c r="BT87">
        <v>150.51680566406199</v>
      </c>
      <c r="BU87">
        <v>1449.53417968749</v>
      </c>
      <c r="BV87">
        <v>0.47688525390624997</v>
      </c>
      <c r="BW87" t="s">
        <v>194</v>
      </c>
      <c r="BX87">
        <v>1.02682177734375</v>
      </c>
      <c r="BY87" t="s">
        <v>194</v>
      </c>
      <c r="BZ87">
        <v>67.665580749511705</v>
      </c>
      <c r="CA87" t="s">
        <v>1719</v>
      </c>
      <c r="CB87" t="s">
        <v>1720</v>
      </c>
      <c r="CC87" t="s">
        <v>1721</v>
      </c>
      <c r="CD87" t="s">
        <v>1722</v>
      </c>
      <c r="CE87" t="s">
        <v>1723</v>
      </c>
      <c r="CF87" t="s">
        <v>1724</v>
      </c>
      <c r="CG87" t="s">
        <v>1725</v>
      </c>
      <c r="CH87">
        <v>105.516391221891</v>
      </c>
      <c r="CI87">
        <v>9.1979838339407891</v>
      </c>
      <c r="CJ87">
        <v>-0.48423333008382002</v>
      </c>
      <c r="CK87">
        <v>14.535628441287001</v>
      </c>
      <c r="CL87">
        <v>105</v>
      </c>
      <c r="CM87">
        <v>74</v>
      </c>
      <c r="CN87">
        <v>103</v>
      </c>
      <c r="CO87">
        <v>104</v>
      </c>
      <c r="CP87">
        <v>105</v>
      </c>
      <c r="CQ87">
        <v>107</v>
      </c>
      <c r="CR87">
        <v>109</v>
      </c>
      <c r="CS87">
        <v>3.0328178042772</v>
      </c>
      <c r="CT87">
        <v>132</v>
      </c>
      <c r="CU87">
        <v>105</v>
      </c>
      <c r="CV87">
        <v>3</v>
      </c>
      <c r="CW87">
        <v>58</v>
      </c>
      <c r="CX87">
        <v>2.0886760145957002</v>
      </c>
      <c r="CY87">
        <v>1.4450936272933901</v>
      </c>
      <c r="CZ87">
        <v>2.0818206448117</v>
      </c>
      <c r="DA87">
        <v>2.8742622536241502E-2</v>
      </c>
      <c r="DB87">
        <v>1.42180094786729E-2</v>
      </c>
      <c r="DC87">
        <v>1.03119535116789</v>
      </c>
      <c r="DD87">
        <v>3.4255568083618799</v>
      </c>
      <c r="DE87">
        <v>1055.1639122189099</v>
      </c>
      <c r="DF87">
        <v>0.11741441119197001</v>
      </c>
      <c r="DG87">
        <v>5.6401243569005896E-3</v>
      </c>
      <c r="DH87">
        <v>178.5</v>
      </c>
      <c r="DI87">
        <v>103</v>
      </c>
      <c r="DJ87">
        <v>-151</v>
      </c>
      <c r="DK87">
        <v>107</v>
      </c>
      <c r="DL87">
        <v>0.47688525390624997</v>
      </c>
      <c r="DM87" t="s">
        <v>194</v>
      </c>
      <c r="DN87">
        <v>1.02682177734375</v>
      </c>
      <c r="DO87" t="s">
        <v>194</v>
      </c>
      <c r="DP87">
        <v>67.665580749511705</v>
      </c>
      <c r="DQ87" t="s">
        <v>1726</v>
      </c>
      <c r="DR87" t="s">
        <v>1727</v>
      </c>
      <c r="DS87" t="s">
        <v>1728</v>
      </c>
      <c r="DT87" t="s">
        <v>1729</v>
      </c>
      <c r="DU87" t="s">
        <v>1723</v>
      </c>
      <c r="DV87" t="s">
        <v>1724</v>
      </c>
      <c r="DW87" t="s">
        <v>1730</v>
      </c>
      <c r="DX87">
        <v>3.7759818363651103E-2</v>
      </c>
      <c r="DY87">
        <v>105.47928210395401</v>
      </c>
      <c r="DZ87">
        <v>7.3920688091650799</v>
      </c>
      <c r="EA87">
        <v>6.4702387593921102</v>
      </c>
      <c r="EB87">
        <v>1.9477359456847301</v>
      </c>
      <c r="EC87">
        <v>1.97729545638834</v>
      </c>
      <c r="ED87">
        <v>4.1623625748943498</v>
      </c>
      <c r="EE87">
        <v>6.4702387593920898</v>
      </c>
      <c r="EF87">
        <v>210.95856420790801</v>
      </c>
      <c r="EG87">
        <v>0</v>
      </c>
      <c r="EH87">
        <v>0</v>
      </c>
      <c r="EI87">
        <v>1.7523814557426801E-2</v>
      </c>
      <c r="EJ87">
        <v>8.0720598967483799</v>
      </c>
      <c r="EK87">
        <v>1.97729545638834</v>
      </c>
      <c r="EL87">
        <v>0.46933670775428699</v>
      </c>
      <c r="EM87">
        <v>0.96855073286021498</v>
      </c>
      <c r="EN87">
        <v>0.40066508521558902</v>
      </c>
      <c r="EO87">
        <v>0.99774982767119902</v>
      </c>
      <c r="EP87">
        <v>0</v>
      </c>
      <c r="EQ87">
        <v>0.45400535999203601</v>
      </c>
      <c r="ER87">
        <v>11129.2349920263</v>
      </c>
      <c r="ES87">
        <v>0</v>
      </c>
      <c r="ET87">
        <v>28.175817671541001</v>
      </c>
      <c r="EU87">
        <v>5844.5912973862196</v>
      </c>
      <c r="EV87">
        <v>0.894871142847247</v>
      </c>
      <c r="EW87">
        <v>1.5515375377485701</v>
      </c>
      <c r="EX87" s="2">
        <v>9.0038302753796704E-5</v>
      </c>
      <c r="EY87">
        <v>11148.046582353199</v>
      </c>
      <c r="EZ87" s="2">
        <v>8.0568671931538206E-5</v>
      </c>
      <c r="FA87">
        <v>9979.2484647393994</v>
      </c>
      <c r="FB87" s="2">
        <v>1.3976170430216099E-4</v>
      </c>
      <c r="FC87">
        <v>17273.967931563799</v>
      </c>
      <c r="FD87">
        <v>360.02808554110499</v>
      </c>
      <c r="FE87">
        <v>2434.91144078344</v>
      </c>
      <c r="FF87">
        <v>0.86251380697330304</v>
      </c>
      <c r="FG87">
        <v>2.15476807453885E-3</v>
      </c>
      <c r="FH87">
        <v>1.4546876706366001E-2</v>
      </c>
      <c r="FI87">
        <v>6.3180992261984606E-2</v>
      </c>
      <c r="FJ87">
        <v>1338.5571579151299</v>
      </c>
      <c r="FK87">
        <v>3.4453006139139601</v>
      </c>
      <c r="FL87">
        <v>0.63120428309613696</v>
      </c>
      <c r="FM87">
        <v>1232.9720394736801</v>
      </c>
      <c r="FN87" s="2">
        <v>9.0595659825593098E-5</v>
      </c>
      <c r="FO87">
        <v>11173.8141447368</v>
      </c>
      <c r="FP87" s="2">
        <v>5.7787664691462801E-5</v>
      </c>
      <c r="FQ87">
        <v>7009.4208677026199</v>
      </c>
      <c r="FR87">
        <v>0.111596425292133</v>
      </c>
      <c r="FS87" s="2">
        <v>13629643.570723601</v>
      </c>
      <c r="FT87">
        <v>40.194078947368403</v>
      </c>
      <c r="FU87">
        <v>6.6108682479224301E-2</v>
      </c>
      <c r="FV87">
        <v>224.68421052631501</v>
      </c>
      <c r="FW87">
        <v>0.369546398891966</v>
      </c>
      <c r="FX87">
        <v>0.16472500677323201</v>
      </c>
      <c r="FY87">
        <v>32.108896186807499</v>
      </c>
      <c r="FZ87">
        <v>1196.11835342364</v>
      </c>
      <c r="GA87">
        <v>6.2111471102376301</v>
      </c>
    </row>
    <row r="88" spans="1:183" x14ac:dyDescent="0.2">
      <c r="A88" t="s">
        <v>2512</v>
      </c>
      <c r="B88" t="s">
        <v>182</v>
      </c>
      <c r="C88" t="s">
        <v>1731</v>
      </c>
      <c r="D88" s="1">
        <v>43238</v>
      </c>
      <c r="E88" t="s">
        <v>1732</v>
      </c>
      <c r="F88" t="s">
        <v>185</v>
      </c>
      <c r="G88" t="s">
        <v>186</v>
      </c>
      <c r="H88">
        <v>1</v>
      </c>
      <c r="I88">
        <v>400</v>
      </c>
      <c r="J88">
        <v>10</v>
      </c>
      <c r="K88" t="s">
        <v>187</v>
      </c>
      <c r="L88" t="s">
        <v>1733</v>
      </c>
      <c r="M88">
        <v>3</v>
      </c>
      <c r="N88">
        <v>0.60546875</v>
      </c>
      <c r="O88">
        <v>0.60546875</v>
      </c>
      <c r="P88" t="s">
        <v>1734</v>
      </c>
      <c r="Q88">
        <v>0</v>
      </c>
      <c r="R88" t="s">
        <v>194</v>
      </c>
      <c r="T88">
        <v>8498.0244159698395</v>
      </c>
      <c r="U88">
        <v>8562.8654479980396</v>
      </c>
      <c r="V88">
        <v>7786</v>
      </c>
      <c r="W88">
        <v>3877.4577974938102</v>
      </c>
      <c r="X88">
        <v>0.45627755436982897</v>
      </c>
      <c r="Y88">
        <v>28.412054881148698</v>
      </c>
      <c r="Z88">
        <v>1.9857401582104198E-2</v>
      </c>
      <c r="AA88">
        <v>0.140102886711785</v>
      </c>
      <c r="AB88">
        <v>1.9253852425805</v>
      </c>
      <c r="AC88">
        <v>0.51937657871509602</v>
      </c>
      <c r="AD88">
        <v>0.92538524258050503</v>
      </c>
      <c r="AE88" t="s">
        <v>1735</v>
      </c>
      <c r="AF88" t="s">
        <v>1736</v>
      </c>
      <c r="AG88" t="s">
        <v>1737</v>
      </c>
      <c r="AH88" t="s">
        <v>193</v>
      </c>
      <c r="AI88" t="s">
        <v>193</v>
      </c>
      <c r="AJ88" t="s">
        <v>193</v>
      </c>
      <c r="AK88" t="s">
        <v>193</v>
      </c>
      <c r="AL88" t="s">
        <v>193</v>
      </c>
      <c r="AM88" t="s">
        <v>193</v>
      </c>
      <c r="AN88" t="s">
        <v>193</v>
      </c>
      <c r="AO88" t="s">
        <v>193</v>
      </c>
      <c r="AP88" t="s">
        <v>193</v>
      </c>
      <c r="AQ88">
        <v>0.16652697096423499</v>
      </c>
      <c r="AR88" t="s">
        <v>193</v>
      </c>
      <c r="AS88" t="s">
        <v>193</v>
      </c>
      <c r="AT88">
        <v>44.760010095208202</v>
      </c>
      <c r="AU88" t="s">
        <v>193</v>
      </c>
      <c r="AV88">
        <v>4532257.4957143804</v>
      </c>
      <c r="AW88">
        <v>26.330721808374001</v>
      </c>
      <c r="AX88">
        <v>2290.9395570695301</v>
      </c>
      <c r="AY88">
        <v>-2.2232854941235898</v>
      </c>
      <c r="AZ88">
        <v>11.1075654769857</v>
      </c>
      <c r="BA88">
        <v>33</v>
      </c>
      <c r="BB88">
        <v>-507</v>
      </c>
      <c r="BC88">
        <v>-24</v>
      </c>
      <c r="BD88">
        <v>10</v>
      </c>
      <c r="BE88">
        <v>33</v>
      </c>
      <c r="BF88">
        <v>53</v>
      </c>
      <c r="BG88">
        <v>73</v>
      </c>
      <c r="BH88">
        <v>47.863760373266999</v>
      </c>
      <c r="BI88">
        <v>179</v>
      </c>
      <c r="BJ88">
        <v>43</v>
      </c>
      <c r="BK88">
        <v>686</v>
      </c>
      <c r="BL88">
        <v>32.129963454069198</v>
      </c>
      <c r="BM88">
        <v>18.751330902250199</v>
      </c>
      <c r="BN88">
        <v>31.475340354482402</v>
      </c>
      <c r="BO88">
        <v>1.81779142712467</v>
      </c>
      <c r="BP88">
        <v>0.682539682539682</v>
      </c>
      <c r="BQ88" t="s">
        <v>194</v>
      </c>
      <c r="BR88" s="2">
        <v>23235343</v>
      </c>
      <c r="BS88">
        <v>54.628257047241704</v>
      </c>
      <c r="BT88">
        <v>225.466427993774</v>
      </c>
      <c r="BU88">
        <v>1309.4680786132801</v>
      </c>
      <c r="BV88">
        <v>0.51799505615234298</v>
      </c>
      <c r="BW88">
        <v>46.972339630126903</v>
      </c>
      <c r="BX88">
        <v>1.0304912109375</v>
      </c>
      <c r="BY88" t="s">
        <v>194</v>
      </c>
      <c r="BZ88" t="s">
        <v>194</v>
      </c>
      <c r="CA88" t="s">
        <v>1738</v>
      </c>
      <c r="CB88" t="s">
        <v>1739</v>
      </c>
      <c r="CC88" t="s">
        <v>1740</v>
      </c>
      <c r="CD88" t="s">
        <v>1741</v>
      </c>
      <c r="CE88" t="s">
        <v>1742</v>
      </c>
      <c r="CF88" t="s">
        <v>1743</v>
      </c>
      <c r="CG88" t="s">
        <v>1744</v>
      </c>
      <c r="CH88">
        <v>103.18314924223</v>
      </c>
      <c r="CI88">
        <v>22.954383403619101</v>
      </c>
      <c r="CJ88">
        <v>-2.20586202301048</v>
      </c>
      <c r="CK88">
        <v>10.9671647041706</v>
      </c>
      <c r="CL88">
        <v>104</v>
      </c>
      <c r="CM88">
        <v>50</v>
      </c>
      <c r="CN88">
        <v>98</v>
      </c>
      <c r="CO88">
        <v>102</v>
      </c>
      <c r="CP88">
        <v>104</v>
      </c>
      <c r="CQ88">
        <v>106</v>
      </c>
      <c r="CR88">
        <v>108</v>
      </c>
      <c r="CS88">
        <v>4.7910733039287798</v>
      </c>
      <c r="CT88">
        <v>118</v>
      </c>
      <c r="CU88">
        <v>105</v>
      </c>
      <c r="CV88">
        <v>4</v>
      </c>
      <c r="CW88">
        <v>68</v>
      </c>
      <c r="CX88">
        <v>3.21918565395179</v>
      </c>
      <c r="CY88">
        <v>2.01004555027541</v>
      </c>
      <c r="CZ88">
        <v>3.1358849216542501</v>
      </c>
      <c r="DA88">
        <v>4.64327105647976E-2</v>
      </c>
      <c r="DB88">
        <v>1.9230769230769201E-2</v>
      </c>
      <c r="DC88">
        <v>1.21068740615763</v>
      </c>
      <c r="DD88">
        <v>4.02181650864134</v>
      </c>
      <c r="DE88">
        <v>1031.83149242229</v>
      </c>
      <c r="DF88">
        <v>8.2574821768724896E-2</v>
      </c>
      <c r="DG88">
        <v>3.2566165288719301E-3</v>
      </c>
      <c r="DH88">
        <v>207.5</v>
      </c>
      <c r="DI88">
        <v>101</v>
      </c>
      <c r="DJ88">
        <v>-245.5</v>
      </c>
      <c r="DK88">
        <v>106</v>
      </c>
      <c r="DL88">
        <v>0.51799505615234298</v>
      </c>
      <c r="DM88">
        <v>46.972339630126903</v>
      </c>
      <c r="DN88">
        <v>1.0304912109375</v>
      </c>
      <c r="DO88" t="s">
        <v>194</v>
      </c>
      <c r="DP88" t="s">
        <v>194</v>
      </c>
      <c r="DQ88" t="s">
        <v>1745</v>
      </c>
      <c r="DR88" t="s">
        <v>1746</v>
      </c>
      <c r="DS88" t="s">
        <v>1747</v>
      </c>
      <c r="DT88" t="s">
        <v>1748</v>
      </c>
      <c r="DU88" t="s">
        <v>1742</v>
      </c>
      <c r="DV88" t="s">
        <v>1743</v>
      </c>
      <c r="DW88" t="s">
        <v>1749</v>
      </c>
      <c r="DX88">
        <v>2.5251121610354501E-2</v>
      </c>
      <c r="DY88">
        <v>103.585315175818</v>
      </c>
      <c r="DZ88">
        <v>17.435439786650299</v>
      </c>
      <c r="EA88">
        <v>7.5350958927078304</v>
      </c>
      <c r="EB88">
        <v>2.2682898839095098</v>
      </c>
      <c r="EC88">
        <v>3.06639668612114</v>
      </c>
      <c r="ED88">
        <v>12.184432284190599</v>
      </c>
      <c r="EE88">
        <v>7.5350958927078899</v>
      </c>
      <c r="EF88">
        <v>207.17063035163599</v>
      </c>
      <c r="EG88">
        <v>0.77385091429781105</v>
      </c>
      <c r="EH88">
        <v>1.7819090985540199E-3</v>
      </c>
      <c r="EI88">
        <v>9.7568143814089608E-3</v>
      </c>
      <c r="EJ88">
        <v>21.5872209208454</v>
      </c>
      <c r="EK88">
        <v>3.06639668612114</v>
      </c>
      <c r="EL88">
        <v>0.395757622209647</v>
      </c>
      <c r="EM88">
        <v>0.95941164514058896</v>
      </c>
      <c r="EN88">
        <v>0.315287963892948</v>
      </c>
      <c r="EO88">
        <v>0.99569130752016199</v>
      </c>
      <c r="EP88">
        <v>0</v>
      </c>
      <c r="EQ88">
        <v>0.38093844534469601</v>
      </c>
      <c r="ER88">
        <v>10736.5593493998</v>
      </c>
      <c r="ES88">
        <v>0.77385091429781105</v>
      </c>
      <c r="ET88">
        <v>-590.57275261146299</v>
      </c>
      <c r="EU88">
        <v>29395.3629148525</v>
      </c>
      <c r="EV88">
        <v>0.92528521592480895</v>
      </c>
      <c r="EW88">
        <v>1.37942960571305</v>
      </c>
      <c r="EX88" s="2">
        <v>9.4933690735006702E-5</v>
      </c>
      <c r="EY88">
        <v>10647.432243791</v>
      </c>
      <c r="EZ88" s="2">
        <v>8.8039705649439897E-5</v>
      </c>
      <c r="FA88">
        <v>9835.2106127379593</v>
      </c>
      <c r="FB88" s="2">
        <v>1.2996297641993301E-4</v>
      </c>
      <c r="FC88">
        <v>14769.6110875583</v>
      </c>
      <c r="FD88">
        <v>555.37156118431903</v>
      </c>
      <c r="FE88">
        <v>5815.7595326554901</v>
      </c>
      <c r="FF88">
        <v>0.90104526862810896</v>
      </c>
      <c r="FG88" s="2">
        <v>9.6803681144345098E-4</v>
      </c>
      <c r="FH88">
        <v>4.0157552634126001E-2</v>
      </c>
      <c r="FI88">
        <v>0.12429094105260501</v>
      </c>
      <c r="FJ88">
        <v>3365.1067377438999</v>
      </c>
      <c r="FK88">
        <v>2.52786021105595</v>
      </c>
      <c r="FL88">
        <v>0.65787508441306397</v>
      </c>
      <c r="FM88">
        <v>301.653610193487</v>
      </c>
      <c r="FN88" s="2">
        <v>1.0042810044158601E-4</v>
      </c>
      <c r="FO88">
        <v>10183.6800377536</v>
      </c>
      <c r="FP88" s="2">
        <v>6.7972989451090294E-5</v>
      </c>
      <c r="FQ88">
        <v>6538.4308428120403</v>
      </c>
      <c r="FR88">
        <v>2.7836120220653002E-2</v>
      </c>
      <c r="FS88">
        <v>3271195.1967909299</v>
      </c>
      <c r="FT88">
        <v>101.057574327512</v>
      </c>
      <c r="FU88">
        <v>4.7691162967207601E-2</v>
      </c>
      <c r="FV88">
        <v>848.43841434638898</v>
      </c>
      <c r="FW88">
        <v>0.40039566509975899</v>
      </c>
      <c r="FX88">
        <v>0.27215515026971399</v>
      </c>
      <c r="FY88">
        <v>49.205483277771101</v>
      </c>
      <c r="FZ88">
        <v>288.15258072037898</v>
      </c>
      <c r="GA88">
        <v>6.6056503119615204</v>
      </c>
    </row>
    <row r="89" spans="1:183" x14ac:dyDescent="0.2">
      <c r="A89" t="s">
        <v>2513</v>
      </c>
      <c r="B89" t="s">
        <v>182</v>
      </c>
      <c r="C89" t="s">
        <v>1750</v>
      </c>
      <c r="D89" s="1">
        <v>42975</v>
      </c>
      <c r="E89" t="s">
        <v>362</v>
      </c>
      <c r="F89" t="s">
        <v>185</v>
      </c>
      <c r="G89" t="s">
        <v>186</v>
      </c>
      <c r="H89">
        <v>1</v>
      </c>
      <c r="I89">
        <v>400</v>
      </c>
      <c r="J89">
        <v>10</v>
      </c>
      <c r="K89" t="s">
        <v>187</v>
      </c>
      <c r="L89" t="s">
        <v>1751</v>
      </c>
      <c r="M89">
        <v>5</v>
      </c>
      <c r="N89">
        <v>0.615234375</v>
      </c>
      <c r="O89">
        <v>0.615234375</v>
      </c>
      <c r="P89" t="s">
        <v>1752</v>
      </c>
      <c r="Q89">
        <v>0</v>
      </c>
      <c r="R89" t="s">
        <v>194</v>
      </c>
      <c r="T89">
        <v>7843.2694673538199</v>
      </c>
      <c r="U89">
        <v>8003.6644935607901</v>
      </c>
      <c r="V89">
        <v>4229</v>
      </c>
      <c r="W89">
        <v>4479.3945737884897</v>
      </c>
      <c r="X89">
        <v>0.57111318085310703</v>
      </c>
      <c r="Y89">
        <v>38.223622495961202</v>
      </c>
      <c r="Z89">
        <v>1.4760233246008199E-2</v>
      </c>
      <c r="AA89">
        <v>7.7408506249221298E-2</v>
      </c>
      <c r="AB89">
        <v>2.34640929842694</v>
      </c>
      <c r="AC89">
        <v>0.426183104827623</v>
      </c>
      <c r="AD89">
        <v>1.34640929842694</v>
      </c>
      <c r="AE89" t="s">
        <v>1753</v>
      </c>
      <c r="AF89" t="s">
        <v>1754</v>
      </c>
      <c r="AG89" t="s">
        <v>1755</v>
      </c>
      <c r="AH89" t="s">
        <v>193</v>
      </c>
      <c r="AI89" t="s">
        <v>193</v>
      </c>
      <c r="AJ89" t="s">
        <v>193</v>
      </c>
      <c r="AK89" t="s">
        <v>193</v>
      </c>
      <c r="AL89" t="s">
        <v>193</v>
      </c>
      <c r="AM89" t="s">
        <v>193</v>
      </c>
      <c r="AN89" t="s">
        <v>193</v>
      </c>
      <c r="AO89" t="s">
        <v>193</v>
      </c>
      <c r="AP89" t="s">
        <v>193</v>
      </c>
      <c r="AQ89">
        <v>0.31006657218553002</v>
      </c>
      <c r="AR89" t="s">
        <v>193</v>
      </c>
      <c r="AS89" t="s">
        <v>193</v>
      </c>
      <c r="AT89">
        <v>61.370124965128298</v>
      </c>
      <c r="AU89" t="s">
        <v>193</v>
      </c>
      <c r="AV89">
        <v>5774905.2786016902</v>
      </c>
      <c r="AW89">
        <v>-25.711988649799</v>
      </c>
      <c r="AX89">
        <v>8373.9596127158693</v>
      </c>
      <c r="AY89">
        <v>-2.7136390952129399</v>
      </c>
      <c r="AZ89">
        <v>10.827425556590301</v>
      </c>
      <c r="BA89">
        <v>5</v>
      </c>
      <c r="BB89">
        <v>-762</v>
      </c>
      <c r="BC89">
        <v>-136</v>
      </c>
      <c r="BD89">
        <v>-47</v>
      </c>
      <c r="BE89">
        <v>5</v>
      </c>
      <c r="BF89">
        <v>29</v>
      </c>
      <c r="BG89">
        <v>41</v>
      </c>
      <c r="BH89">
        <v>91.509341669120701</v>
      </c>
      <c r="BI89">
        <v>139</v>
      </c>
      <c r="BJ89">
        <v>76</v>
      </c>
      <c r="BK89">
        <v>901</v>
      </c>
      <c r="BL89">
        <v>62.283569500438297</v>
      </c>
      <c r="BM89">
        <v>35.456176187353599</v>
      </c>
      <c r="BN89">
        <v>56.332229841570097</v>
      </c>
      <c r="BO89">
        <v>-3.5590145482518301</v>
      </c>
      <c r="BP89">
        <v>-4.2222222222222197</v>
      </c>
      <c r="BQ89" t="s">
        <v>194</v>
      </c>
      <c r="BR89" s="2">
        <v>38209294</v>
      </c>
      <c r="BS89">
        <v>95.052964041334704</v>
      </c>
      <c r="BT89">
        <v>-205.79013061523401</v>
      </c>
      <c r="BU89">
        <v>2527.2073745727498</v>
      </c>
      <c r="BV89">
        <v>0.45232342529296798</v>
      </c>
      <c r="BW89" t="s">
        <v>194</v>
      </c>
      <c r="BX89">
        <v>1.02766369628906</v>
      </c>
      <c r="BY89" t="s">
        <v>194</v>
      </c>
      <c r="BZ89">
        <v>9.0478725433349592</v>
      </c>
      <c r="CA89" t="s">
        <v>1756</v>
      </c>
      <c r="CB89" t="s">
        <v>1757</v>
      </c>
      <c r="CC89" t="s">
        <v>1758</v>
      </c>
      <c r="CD89" t="s">
        <v>1759</v>
      </c>
      <c r="CE89" t="s">
        <v>1760</v>
      </c>
      <c r="CF89" t="s">
        <v>1761</v>
      </c>
      <c r="CG89" t="s">
        <v>1762</v>
      </c>
      <c r="CH89">
        <v>97.968314022227304</v>
      </c>
      <c r="CI89">
        <v>83.766789803494305</v>
      </c>
      <c r="CJ89">
        <v>-2.7081014547376898</v>
      </c>
      <c r="CK89">
        <v>10.7937462181869</v>
      </c>
      <c r="CL89">
        <v>101</v>
      </c>
      <c r="CM89">
        <v>24</v>
      </c>
      <c r="CN89">
        <v>87</v>
      </c>
      <c r="CO89">
        <v>96</v>
      </c>
      <c r="CP89">
        <v>101</v>
      </c>
      <c r="CQ89">
        <v>103</v>
      </c>
      <c r="CR89">
        <v>105</v>
      </c>
      <c r="CS89">
        <v>9.1524198878490193</v>
      </c>
      <c r="CT89">
        <v>114</v>
      </c>
      <c r="CU89">
        <v>104</v>
      </c>
      <c r="CV89">
        <v>7</v>
      </c>
      <c r="CW89">
        <v>90</v>
      </c>
      <c r="CX89">
        <v>6.2290981306042301</v>
      </c>
      <c r="CY89">
        <v>3.60005306803675</v>
      </c>
      <c r="CZ89">
        <v>5.6270986048711196</v>
      </c>
      <c r="DA89">
        <v>9.3422245541272597E-2</v>
      </c>
      <c r="DB89">
        <v>3.5175879396984903E-2</v>
      </c>
      <c r="DC89">
        <v>1.3559139993301601</v>
      </c>
      <c r="DD89">
        <v>4.5042488086259498</v>
      </c>
      <c r="DE89">
        <v>979.68314022227003</v>
      </c>
      <c r="DF89">
        <v>6.8499485111108593E-2</v>
      </c>
      <c r="DG89">
        <v>4.0246193503699302E-3</v>
      </c>
      <c r="DH89">
        <v>125.5</v>
      </c>
      <c r="DI89">
        <v>102</v>
      </c>
      <c r="DJ89">
        <v>-252.5</v>
      </c>
      <c r="DK89">
        <v>105</v>
      </c>
      <c r="DL89">
        <v>0.45232342529296798</v>
      </c>
      <c r="DM89" t="s">
        <v>194</v>
      </c>
      <c r="DN89">
        <v>1.02766369628906</v>
      </c>
      <c r="DO89" t="s">
        <v>194</v>
      </c>
      <c r="DP89">
        <v>9.0478725433349592</v>
      </c>
      <c r="DQ89" t="s">
        <v>1763</v>
      </c>
      <c r="DR89" t="s">
        <v>1764</v>
      </c>
      <c r="DS89" t="s">
        <v>1765</v>
      </c>
      <c r="DT89" t="s">
        <v>1766</v>
      </c>
      <c r="DU89" t="s">
        <v>1760</v>
      </c>
      <c r="DV89" t="s">
        <v>1761</v>
      </c>
      <c r="DW89" t="s">
        <v>1767</v>
      </c>
      <c r="DX89">
        <v>4.9235386594254603E-2</v>
      </c>
      <c r="DY89">
        <v>98.326282692582794</v>
      </c>
      <c r="DZ89">
        <v>67.509803717712401</v>
      </c>
      <c r="EA89">
        <v>8.3200711462841195</v>
      </c>
      <c r="EB89">
        <v>2.5045909810899101</v>
      </c>
      <c r="EC89">
        <v>4.3642275260825896</v>
      </c>
      <c r="ED89">
        <v>34.612800650247003</v>
      </c>
      <c r="EE89">
        <v>8.3200711462841195</v>
      </c>
      <c r="EF89">
        <v>196.65256538516499</v>
      </c>
      <c r="EG89">
        <v>150.96721427501399</v>
      </c>
      <c r="EH89">
        <v>1.6673219055586599</v>
      </c>
      <c r="EI89">
        <v>1.04222503206779E-2</v>
      </c>
      <c r="EJ89">
        <v>53.659282549663999</v>
      </c>
      <c r="EK89">
        <v>4.3642275260825896</v>
      </c>
      <c r="EL89">
        <v>0.40784101319268101</v>
      </c>
      <c r="EM89">
        <v>0.95743420072204899</v>
      </c>
      <c r="EN89">
        <v>0.34308595477360199</v>
      </c>
      <c r="EO89">
        <v>0.99385051855856099</v>
      </c>
      <c r="EP89" s="2">
        <v>2.83948321282674E-7</v>
      </c>
      <c r="EQ89">
        <v>0.60258155412481595</v>
      </c>
      <c r="ER89">
        <v>9708.7380305845309</v>
      </c>
      <c r="ES89">
        <v>150.96721427501399</v>
      </c>
      <c r="ET89">
        <v>-7927.2103338003099</v>
      </c>
      <c r="EU89">
        <v>657964.39720241399</v>
      </c>
      <c r="EV89">
        <v>0.93853301245076304</v>
      </c>
      <c r="EW89">
        <v>1.4492930573301299</v>
      </c>
      <c r="EX89" s="2">
        <v>1.11004895676166E-4</v>
      </c>
      <c r="EY89">
        <v>9595.8312452470109</v>
      </c>
      <c r="EZ89" s="2">
        <v>1.0503928381726E-4</v>
      </c>
      <c r="FA89">
        <v>8956.9598170158206</v>
      </c>
      <c r="FB89" s="2">
        <v>1.5403250597182801E-4</v>
      </c>
      <c r="FC89">
        <v>14315.124324496201</v>
      </c>
      <c r="FD89">
        <v>244.01571585605399</v>
      </c>
      <c r="FE89">
        <v>3360.8706359725402</v>
      </c>
      <c r="FF89">
        <v>0.91003510558960998</v>
      </c>
      <c r="FG89">
        <v>1.76432646417653E-3</v>
      </c>
      <c r="FH89">
        <v>8.5811698614210494E-2</v>
      </c>
      <c r="FI89">
        <v>4.7858624832134898E-2</v>
      </c>
      <c r="FJ89">
        <v>9624.66647177901</v>
      </c>
      <c r="FK89">
        <v>14.455895501587101</v>
      </c>
      <c r="FL89">
        <v>0.72595394039219097</v>
      </c>
      <c r="FM89">
        <v>96.312162971839399</v>
      </c>
      <c r="FN89" s="2">
        <v>1.2654031998889499E-4</v>
      </c>
      <c r="FO89">
        <v>8776.9053325344503</v>
      </c>
      <c r="FP89" s="2">
        <v>9.7401150925895694E-5</v>
      </c>
      <c r="FQ89">
        <v>6127.99158774837</v>
      </c>
      <c r="FR89">
        <v>9.0730783306991105E-3</v>
      </c>
      <c r="FS89">
        <v>1025377.28579988</v>
      </c>
      <c r="FT89">
        <v>58.881366087477502</v>
      </c>
      <c r="FU89">
        <v>3.5279428452652799E-2</v>
      </c>
      <c r="FV89">
        <v>814.19592570401403</v>
      </c>
      <c r="FW89">
        <v>0.487834587000607</v>
      </c>
      <c r="FX89">
        <v>0.39465594703239498</v>
      </c>
      <c r="FY89">
        <v>135.25907133248899</v>
      </c>
      <c r="FZ89">
        <v>89.891753941127007</v>
      </c>
      <c r="GA89">
        <v>6.6827783065695598</v>
      </c>
    </row>
    <row r="90" spans="1:183" x14ac:dyDescent="0.2">
      <c r="A90" t="s">
        <v>2514</v>
      </c>
      <c r="B90" t="s">
        <v>182</v>
      </c>
      <c r="C90" t="s">
        <v>1768</v>
      </c>
      <c r="D90" s="1">
        <v>43365</v>
      </c>
      <c r="E90" t="s">
        <v>1769</v>
      </c>
      <c r="F90" t="s">
        <v>185</v>
      </c>
      <c r="G90" t="s">
        <v>186</v>
      </c>
      <c r="H90">
        <v>1</v>
      </c>
      <c r="I90">
        <v>400</v>
      </c>
      <c r="J90">
        <v>10</v>
      </c>
      <c r="K90" t="s">
        <v>187</v>
      </c>
      <c r="L90" t="s">
        <v>1770</v>
      </c>
      <c r="M90">
        <v>1.5</v>
      </c>
      <c r="N90">
        <v>0.68359375</v>
      </c>
      <c r="O90">
        <v>0.68359375</v>
      </c>
      <c r="P90" t="s">
        <v>1771</v>
      </c>
      <c r="Q90">
        <v>0</v>
      </c>
      <c r="R90" t="s">
        <v>194</v>
      </c>
      <c r="T90">
        <v>417.21165180206299</v>
      </c>
      <c r="U90">
        <v>426.177978515625</v>
      </c>
      <c r="V90">
        <v>608</v>
      </c>
      <c r="W90">
        <v>331.21835811317999</v>
      </c>
      <c r="X90">
        <v>0.79388568531714798</v>
      </c>
      <c r="Y90">
        <v>14.448247454508399</v>
      </c>
      <c r="Z90">
        <v>3.90489978334157E-2</v>
      </c>
      <c r="AA90">
        <v>0.541778830164101</v>
      </c>
      <c r="AB90">
        <v>1.2266650444878699</v>
      </c>
      <c r="AC90">
        <v>0.81521846937237297</v>
      </c>
      <c r="AD90">
        <v>0.226665044487874</v>
      </c>
      <c r="AE90" t="s">
        <v>1772</v>
      </c>
      <c r="AF90" t="s">
        <v>1773</v>
      </c>
      <c r="AG90" t="s">
        <v>1774</v>
      </c>
      <c r="AH90" t="s">
        <v>193</v>
      </c>
      <c r="AI90" t="s">
        <v>193</v>
      </c>
      <c r="AJ90" t="s">
        <v>193</v>
      </c>
      <c r="AK90" t="s">
        <v>193</v>
      </c>
      <c r="AL90" t="s">
        <v>193</v>
      </c>
      <c r="AM90" t="s">
        <v>193</v>
      </c>
      <c r="AN90" t="s">
        <v>193</v>
      </c>
      <c r="AO90" t="s">
        <v>193</v>
      </c>
      <c r="AP90" t="s">
        <v>193</v>
      </c>
      <c r="AQ90">
        <v>4.5910089818163601E-2</v>
      </c>
      <c r="AR90" t="s">
        <v>193</v>
      </c>
      <c r="AS90" t="s">
        <v>193</v>
      </c>
      <c r="AT90">
        <v>11.413180986290801</v>
      </c>
      <c r="AU90" t="s">
        <v>193</v>
      </c>
      <c r="AV90">
        <v>262098.80997377701</v>
      </c>
      <c r="AW90">
        <v>57.215460526315802</v>
      </c>
      <c r="AX90">
        <v>5470.3729846563301</v>
      </c>
      <c r="AY90">
        <v>-3.00934581046292</v>
      </c>
      <c r="AZ90">
        <v>15.2769725328072</v>
      </c>
      <c r="BA90">
        <v>73</v>
      </c>
      <c r="BB90">
        <v>-571</v>
      </c>
      <c r="BC90">
        <v>-19</v>
      </c>
      <c r="BD90">
        <v>42</v>
      </c>
      <c r="BE90">
        <v>73</v>
      </c>
      <c r="BF90">
        <v>98</v>
      </c>
      <c r="BG90">
        <v>117</v>
      </c>
      <c r="BH90">
        <v>73.961969853812903</v>
      </c>
      <c r="BI90">
        <v>227</v>
      </c>
      <c r="BJ90">
        <v>56</v>
      </c>
      <c r="BK90">
        <v>798</v>
      </c>
      <c r="BL90">
        <v>46.657142702562098</v>
      </c>
      <c r="BM90">
        <v>26.052845528455201</v>
      </c>
      <c r="BN90">
        <v>44.679276315789402</v>
      </c>
      <c r="BO90">
        <v>1.2926920306757701</v>
      </c>
      <c r="BP90">
        <v>0.4</v>
      </c>
      <c r="BQ90" t="s">
        <v>194</v>
      </c>
      <c r="BR90">
        <v>5316341</v>
      </c>
      <c r="BS90">
        <v>93.509261080893594</v>
      </c>
      <c r="BT90">
        <v>24.383969306945801</v>
      </c>
      <c r="BU90">
        <v>333.65249633789</v>
      </c>
      <c r="BV90">
        <v>0.532021545410156</v>
      </c>
      <c r="BW90" t="s">
        <v>194</v>
      </c>
      <c r="BX90">
        <v>1.0521268310546801</v>
      </c>
      <c r="BY90" t="s">
        <v>194</v>
      </c>
      <c r="BZ90" t="s">
        <v>194</v>
      </c>
      <c r="CA90" t="s">
        <v>1775</v>
      </c>
      <c r="CB90" t="s">
        <v>1776</v>
      </c>
      <c r="CC90" t="s">
        <v>1777</v>
      </c>
      <c r="CD90" t="s">
        <v>1778</v>
      </c>
      <c r="CE90" t="s">
        <v>1779</v>
      </c>
      <c r="CF90" t="s">
        <v>1780</v>
      </c>
      <c r="CG90" t="s">
        <v>1781</v>
      </c>
      <c r="CH90">
        <v>106.27467105263101</v>
      </c>
      <c r="CI90">
        <v>54.761726865477897</v>
      </c>
      <c r="CJ90">
        <v>-3.0153403883747698</v>
      </c>
      <c r="CK90">
        <v>15.4537969172505</v>
      </c>
      <c r="CL90">
        <v>108</v>
      </c>
      <c r="CM90">
        <v>43</v>
      </c>
      <c r="CN90">
        <v>99</v>
      </c>
      <c r="CO90">
        <v>105</v>
      </c>
      <c r="CP90">
        <v>108</v>
      </c>
      <c r="CQ90">
        <v>110</v>
      </c>
      <c r="CR90">
        <v>112</v>
      </c>
      <c r="CS90">
        <v>7.4001166791799902</v>
      </c>
      <c r="CT90">
        <v>123</v>
      </c>
      <c r="CU90">
        <v>109</v>
      </c>
      <c r="CV90">
        <v>5</v>
      </c>
      <c r="CW90">
        <v>80</v>
      </c>
      <c r="CX90">
        <v>4.6651175121190898</v>
      </c>
      <c r="CY90">
        <v>2.6770399999999901</v>
      </c>
      <c r="CZ90">
        <v>4.46875</v>
      </c>
      <c r="DA90">
        <v>6.96319885621208E-2</v>
      </c>
      <c r="DB90">
        <v>2.3255813953488299E-2</v>
      </c>
      <c r="DC90">
        <v>1.3060763924205501</v>
      </c>
      <c r="DD90">
        <v>4.3386918620509798</v>
      </c>
      <c r="DE90">
        <v>1062.7467105262899</v>
      </c>
      <c r="DF90">
        <v>6.5232210872576094E-2</v>
      </c>
      <c r="DG90">
        <v>1.0358079962720101E-2</v>
      </c>
      <c r="DH90">
        <v>17.5</v>
      </c>
      <c r="DI90">
        <v>104</v>
      </c>
      <c r="DJ90">
        <v>-14</v>
      </c>
      <c r="DK90">
        <v>112</v>
      </c>
      <c r="DL90">
        <v>0.532021545410156</v>
      </c>
      <c r="DM90" t="s">
        <v>194</v>
      </c>
      <c r="DN90">
        <v>1.0521268310546801</v>
      </c>
      <c r="DO90" t="s">
        <v>194</v>
      </c>
      <c r="DP90" t="s">
        <v>194</v>
      </c>
      <c r="DQ90" t="s">
        <v>1782</v>
      </c>
      <c r="DR90" t="s">
        <v>1783</v>
      </c>
      <c r="DS90" t="s">
        <v>1784</v>
      </c>
      <c r="DT90" t="s">
        <v>1785</v>
      </c>
      <c r="DU90" t="s">
        <v>1779</v>
      </c>
      <c r="DV90" t="s">
        <v>1780</v>
      </c>
      <c r="DW90" t="s">
        <v>1786</v>
      </c>
      <c r="DX90">
        <v>1.5420717398592E-2</v>
      </c>
      <c r="DY90">
        <v>107.139456922561</v>
      </c>
      <c r="DZ90">
        <v>32.192251397993402</v>
      </c>
      <c r="EA90">
        <v>8.1087959134527896</v>
      </c>
      <c r="EB90">
        <v>2.4409907986667898</v>
      </c>
      <c r="EC90">
        <v>4.3995977204156897</v>
      </c>
      <c r="ED90">
        <v>24.5888969216441</v>
      </c>
      <c r="EE90">
        <v>8.1087959134527594</v>
      </c>
      <c r="EF90">
        <v>214.27891384512199</v>
      </c>
      <c r="EG90">
        <v>15.536517754708999</v>
      </c>
      <c r="EH90">
        <v>4.2626285113024097E-2</v>
      </c>
      <c r="EI90">
        <v>5.9905477333900801E-3</v>
      </c>
      <c r="EJ90">
        <v>43.945357023131002</v>
      </c>
      <c r="EK90">
        <v>4.3995977204156897</v>
      </c>
      <c r="EL90">
        <v>0.33288926858963203</v>
      </c>
      <c r="EM90">
        <v>0.95126768964754704</v>
      </c>
      <c r="EN90">
        <v>0.24683129799056699</v>
      </c>
      <c r="EO90">
        <v>0.99368354094695199</v>
      </c>
      <c r="EP90">
        <v>0</v>
      </c>
      <c r="EQ90">
        <v>0.31745443212663599</v>
      </c>
      <c r="ER90">
        <v>11489.0828025477</v>
      </c>
      <c r="ES90">
        <v>15.536517754708999</v>
      </c>
      <c r="ET90">
        <v>-1942.0534866068499</v>
      </c>
      <c r="EU90">
        <v>126465.60367720699</v>
      </c>
      <c r="EV90">
        <v>0.944808719965051</v>
      </c>
      <c r="EW90">
        <v>1.2585684870211</v>
      </c>
      <c r="EX90" s="2">
        <v>9.1077749790379993E-5</v>
      </c>
      <c r="EY90">
        <v>11314.4756624648</v>
      </c>
      <c r="EZ90" s="2">
        <v>8.6369182946162396E-5</v>
      </c>
      <c r="FA90">
        <v>10664.4938792674</v>
      </c>
      <c r="FB90" s="2">
        <v>1.1311936250322201E-4</v>
      </c>
      <c r="FC90">
        <v>14360.878247753401</v>
      </c>
      <c r="FD90">
        <v>35.522701811109798</v>
      </c>
      <c r="FE90">
        <v>488.49437756364398</v>
      </c>
      <c r="FF90">
        <v>0.92649291497975705</v>
      </c>
      <c r="FG90">
        <v>1.23433205756763E-2</v>
      </c>
      <c r="FH90">
        <v>0.219547126668523</v>
      </c>
      <c r="FI90">
        <v>1.39194848019276E-2</v>
      </c>
      <c r="FJ90">
        <v>3200.1264436860301</v>
      </c>
      <c r="FK90">
        <v>17.2429343933029</v>
      </c>
      <c r="FL90">
        <v>0.75345960716779303</v>
      </c>
      <c r="FM90">
        <v>29.771428571428501</v>
      </c>
      <c r="FN90" s="2">
        <v>9.7646869593932202E-5</v>
      </c>
      <c r="FO90">
        <v>10821.0571428571</v>
      </c>
      <c r="FP90" s="2">
        <v>7.5940940516424502E-5</v>
      </c>
      <c r="FQ90">
        <v>7973.6863564059204</v>
      </c>
      <c r="FR90">
        <v>2.5501312133071499E-3</v>
      </c>
      <c r="FS90">
        <v>349094.314285714</v>
      </c>
      <c r="FT90">
        <v>9.9224489795918291</v>
      </c>
      <c r="FU90">
        <v>4.0499791753436001E-2</v>
      </c>
      <c r="FV90">
        <v>129.65306122448899</v>
      </c>
      <c r="FW90">
        <v>0.52919616826322302</v>
      </c>
      <c r="FX90">
        <v>0.40296052631578899</v>
      </c>
      <c r="FY90">
        <v>102.46947105372701</v>
      </c>
      <c r="FZ90">
        <v>23.612927946688799</v>
      </c>
      <c r="GA90">
        <v>5.9701523620576404</v>
      </c>
    </row>
    <row r="91" spans="1:183" x14ac:dyDescent="0.2">
      <c r="A91" t="s">
        <v>2515</v>
      </c>
      <c r="B91" t="s">
        <v>182</v>
      </c>
      <c r="C91" t="s">
        <v>1787</v>
      </c>
      <c r="D91" s="1">
        <v>42772</v>
      </c>
      <c r="E91" t="s">
        <v>381</v>
      </c>
      <c r="F91" t="s">
        <v>185</v>
      </c>
      <c r="G91" t="s">
        <v>186</v>
      </c>
      <c r="H91">
        <v>1</v>
      </c>
      <c r="I91">
        <v>400</v>
      </c>
      <c r="J91">
        <v>10</v>
      </c>
      <c r="K91" t="s">
        <v>187</v>
      </c>
      <c r="L91" t="s">
        <v>1519</v>
      </c>
      <c r="M91">
        <v>5</v>
      </c>
      <c r="N91">
        <v>0.587890625</v>
      </c>
      <c r="O91">
        <v>0.587890625</v>
      </c>
      <c r="P91" t="s">
        <v>1788</v>
      </c>
      <c r="Q91">
        <v>0</v>
      </c>
      <c r="R91" t="s">
        <v>194</v>
      </c>
      <c r="T91">
        <v>4019.7949632008799</v>
      </c>
      <c r="U91">
        <v>4126.6477203369104</v>
      </c>
      <c r="V91">
        <v>2388</v>
      </c>
      <c r="W91">
        <v>2998.1673095772198</v>
      </c>
      <c r="X91">
        <v>0.74585080508430701</v>
      </c>
      <c r="Y91">
        <v>40.839450984376903</v>
      </c>
      <c r="Z91">
        <v>1.38148180239637E-2</v>
      </c>
      <c r="AA91">
        <v>6.7809818700119498E-2</v>
      </c>
      <c r="AB91">
        <v>2.4522748206134501</v>
      </c>
      <c r="AC91">
        <v>0.40778463799984699</v>
      </c>
      <c r="AD91">
        <v>1.4522748206134499</v>
      </c>
      <c r="AE91" t="s">
        <v>1789</v>
      </c>
      <c r="AF91" t="s">
        <v>1790</v>
      </c>
      <c r="AG91" t="s">
        <v>1791</v>
      </c>
      <c r="AH91" t="s">
        <v>193</v>
      </c>
      <c r="AI91" t="s">
        <v>193</v>
      </c>
      <c r="AJ91" t="s">
        <v>193</v>
      </c>
      <c r="AK91" t="s">
        <v>193</v>
      </c>
      <c r="AL91" t="s">
        <v>193</v>
      </c>
      <c r="AM91" t="s">
        <v>193</v>
      </c>
      <c r="AN91" t="s">
        <v>193</v>
      </c>
      <c r="AO91" t="s">
        <v>193</v>
      </c>
      <c r="AP91" t="s">
        <v>193</v>
      </c>
      <c r="AQ91">
        <v>0.67133130231323901</v>
      </c>
      <c r="AR91" t="s">
        <v>193</v>
      </c>
      <c r="AS91" t="s">
        <v>193</v>
      </c>
      <c r="AT91">
        <v>58.905391308422303</v>
      </c>
      <c r="AU91" t="s">
        <v>193</v>
      </c>
      <c r="AV91">
        <v>2728429.0979476999</v>
      </c>
      <c r="AW91">
        <v>-20.251675041875899</v>
      </c>
      <c r="AX91">
        <v>18329.5836445979</v>
      </c>
      <c r="AY91">
        <v>-1.8488928250343599</v>
      </c>
      <c r="AZ91">
        <v>3.7682480692321301</v>
      </c>
      <c r="BA91">
        <v>21</v>
      </c>
      <c r="BB91">
        <v>-699</v>
      </c>
      <c r="BC91">
        <v>-197</v>
      </c>
      <c r="BD91">
        <v>-62</v>
      </c>
      <c r="BE91">
        <v>21</v>
      </c>
      <c r="BF91">
        <v>69</v>
      </c>
      <c r="BG91">
        <v>99</v>
      </c>
      <c r="BH91">
        <v>135.38679272587001</v>
      </c>
      <c r="BI91">
        <v>247</v>
      </c>
      <c r="BJ91">
        <v>131</v>
      </c>
      <c r="BK91">
        <v>946</v>
      </c>
      <c r="BL91">
        <v>97.657512155980896</v>
      </c>
      <c r="BM91">
        <v>58.211392319728702</v>
      </c>
      <c r="BN91">
        <v>91.566582914572805</v>
      </c>
      <c r="BO91">
        <v>-6.6852145536564702</v>
      </c>
      <c r="BP91">
        <v>18.714285714285701</v>
      </c>
      <c r="BQ91" t="s">
        <v>194</v>
      </c>
      <c r="BR91" s="2">
        <v>44750437</v>
      </c>
      <c r="BS91">
        <v>136.89307501330899</v>
      </c>
      <c r="BT91">
        <v>-83.571528644561496</v>
      </c>
      <c r="BU91">
        <v>1355.3883425394599</v>
      </c>
      <c r="BV91">
        <v>0.52360729980468701</v>
      </c>
      <c r="BW91" t="s">
        <v>194</v>
      </c>
      <c r="BX91">
        <v>1.02129345703125</v>
      </c>
      <c r="BY91" t="s">
        <v>194</v>
      </c>
      <c r="BZ91" t="s">
        <v>194</v>
      </c>
      <c r="CA91" t="s">
        <v>1792</v>
      </c>
      <c r="CB91" t="s">
        <v>1793</v>
      </c>
      <c r="CC91" t="s">
        <v>1794</v>
      </c>
      <c r="CD91" t="s">
        <v>1795</v>
      </c>
      <c r="CE91" t="s">
        <v>1796</v>
      </c>
      <c r="CF91" t="s">
        <v>1797</v>
      </c>
      <c r="CG91" t="s">
        <v>1798</v>
      </c>
      <c r="CH91">
        <v>98.522613065326695</v>
      </c>
      <c r="CI91">
        <v>183.458031362844</v>
      </c>
      <c r="CJ91">
        <v>-1.8469209293102</v>
      </c>
      <c r="CK91">
        <v>3.7588932765835201</v>
      </c>
      <c r="CL91">
        <v>103</v>
      </c>
      <c r="CM91">
        <v>31</v>
      </c>
      <c r="CN91">
        <v>81</v>
      </c>
      <c r="CO91">
        <v>94</v>
      </c>
      <c r="CP91">
        <v>103</v>
      </c>
      <c r="CQ91">
        <v>107</v>
      </c>
      <c r="CR91">
        <v>110</v>
      </c>
      <c r="CS91">
        <v>13.5446680048956</v>
      </c>
      <c r="CT91">
        <v>125</v>
      </c>
      <c r="CU91">
        <v>105</v>
      </c>
      <c r="CV91">
        <v>13</v>
      </c>
      <c r="CW91">
        <v>94</v>
      </c>
      <c r="CX91">
        <v>9.7716177200908998</v>
      </c>
      <c r="CY91">
        <v>5.8654560430986997</v>
      </c>
      <c r="CZ91">
        <v>9.1574539363484</v>
      </c>
      <c r="DA91">
        <v>0.13747775849098401</v>
      </c>
      <c r="DB91">
        <v>6.4676616915422799E-2</v>
      </c>
      <c r="DC91">
        <v>1.5938595398205699</v>
      </c>
      <c r="DD91">
        <v>5.2946867846342203</v>
      </c>
      <c r="DE91">
        <v>985.22613065327198</v>
      </c>
      <c r="DF91">
        <v>3.4097062644321503E-2</v>
      </c>
      <c r="DG91">
        <v>3.77869050662504E-3</v>
      </c>
      <c r="DH91">
        <v>30.5</v>
      </c>
      <c r="DI91">
        <v>104</v>
      </c>
      <c r="DJ91">
        <v>-22</v>
      </c>
      <c r="DK91">
        <v>109</v>
      </c>
      <c r="DL91">
        <v>0.52360729980468701</v>
      </c>
      <c r="DM91" t="s">
        <v>194</v>
      </c>
      <c r="DN91">
        <v>1.02129345703125</v>
      </c>
      <c r="DO91" t="s">
        <v>194</v>
      </c>
      <c r="DP91" t="s">
        <v>194</v>
      </c>
      <c r="DQ91" t="s">
        <v>1799</v>
      </c>
      <c r="DR91" t="s">
        <v>1800</v>
      </c>
      <c r="DS91" t="s">
        <v>1801</v>
      </c>
      <c r="DT91" t="s">
        <v>1802</v>
      </c>
      <c r="DU91" t="s">
        <v>1796</v>
      </c>
      <c r="DV91" t="s">
        <v>1797</v>
      </c>
      <c r="DW91" t="s">
        <v>1803</v>
      </c>
      <c r="DX91">
        <v>1.08153544410198E-2</v>
      </c>
      <c r="DY91">
        <v>100.89422807509</v>
      </c>
      <c r="DZ91">
        <v>143.29934746381301</v>
      </c>
      <c r="EA91">
        <v>9.75813192313157</v>
      </c>
      <c r="EB91">
        <v>2.93749041050885</v>
      </c>
      <c r="EC91">
        <v>7.49470439899134</v>
      </c>
      <c r="ED91">
        <v>81.313351054396605</v>
      </c>
      <c r="EE91">
        <v>9.75813192313157</v>
      </c>
      <c r="EF91">
        <v>201.78845615018099</v>
      </c>
      <c r="EG91">
        <v>317.97478691580898</v>
      </c>
      <c r="EH91">
        <v>2.5593975355134999</v>
      </c>
      <c r="EI91">
        <v>2.4742778577804899E-3</v>
      </c>
      <c r="EJ91">
        <v>137.48394508265599</v>
      </c>
      <c r="EK91">
        <v>7.49470439899134</v>
      </c>
      <c r="EL91">
        <v>0.28164210693573699</v>
      </c>
      <c r="EM91">
        <v>0.93299687818891996</v>
      </c>
      <c r="EN91">
        <v>0.20321300912113199</v>
      </c>
      <c r="EO91">
        <v>0.98621783354280401</v>
      </c>
      <c r="EP91" s="2">
        <v>6.5580416697337804E-6</v>
      </c>
      <c r="EQ91">
        <v>0.52029109861307798</v>
      </c>
      <c r="ER91">
        <v>10254.202633790899</v>
      </c>
      <c r="ES91">
        <v>317.97478691580898</v>
      </c>
      <c r="ET91">
        <v>-18304.948910264899</v>
      </c>
      <c r="EU91">
        <v>1577614.9602467599</v>
      </c>
      <c r="EV91">
        <v>0.96485493022854596</v>
      </c>
      <c r="EW91">
        <v>1.1671359418846601</v>
      </c>
      <c r="EX91" s="2">
        <v>1.14990944732064E-4</v>
      </c>
      <c r="EY91">
        <v>9824.9648571596699</v>
      </c>
      <c r="EZ91" s="2">
        <v>1.1175092530817601E-4</v>
      </c>
      <c r="FA91">
        <v>9433.3620288304301</v>
      </c>
      <c r="FB91" s="2">
        <v>1.3031833217166001E-4</v>
      </c>
      <c r="FC91">
        <v>11691.852445730001</v>
      </c>
      <c r="FD91">
        <v>75.314095497907203</v>
      </c>
      <c r="FE91">
        <v>2082.7773847848498</v>
      </c>
      <c r="FF91">
        <v>0.95235794356397296</v>
      </c>
      <c r="FG91">
        <v>3.5659717683094302E-3</v>
      </c>
      <c r="FH91">
        <v>0.287795225890146</v>
      </c>
      <c r="FI91">
        <v>2.6715566446576602E-2</v>
      </c>
      <c r="FJ91">
        <v>14950.9652419617</v>
      </c>
      <c r="FK91">
        <v>16.323622218762399</v>
      </c>
      <c r="FL91">
        <v>0.781264958797108</v>
      </c>
      <c r="FM91">
        <v>8.0550724637681093</v>
      </c>
      <c r="FN91" s="2">
        <v>1.28561628209919E-4</v>
      </c>
      <c r="FO91">
        <v>9071.3318840579705</v>
      </c>
      <c r="FP91" s="2">
        <v>1.06543752733963E-4</v>
      </c>
      <c r="FQ91">
        <v>6779.3436240697702</v>
      </c>
      <c r="FR91" s="2">
        <v>7.5812703075245499E-4</v>
      </c>
      <c r="FS91">
        <v>89288.353623188406</v>
      </c>
      <c r="FT91">
        <v>36.447826086956503</v>
      </c>
      <c r="FU91">
        <v>2.6411468178954001E-2</v>
      </c>
      <c r="FV91">
        <v>784.85652173913002</v>
      </c>
      <c r="FW91">
        <v>0.56873660995589104</v>
      </c>
      <c r="FX91">
        <v>0.57788944723617997</v>
      </c>
      <c r="FY91">
        <v>225.24784919134601</v>
      </c>
      <c r="FZ91">
        <v>5.0606679269061097</v>
      </c>
      <c r="GA91">
        <v>6.7610362055529496</v>
      </c>
    </row>
    <row r="92" spans="1:183" x14ac:dyDescent="0.2">
      <c r="A92" t="s">
        <v>2516</v>
      </c>
      <c r="B92" t="s">
        <v>182</v>
      </c>
      <c r="C92" t="s">
        <v>1804</v>
      </c>
      <c r="D92" s="1">
        <v>42814</v>
      </c>
      <c r="E92" t="s">
        <v>362</v>
      </c>
      <c r="F92" t="s">
        <v>185</v>
      </c>
      <c r="G92" t="s">
        <v>186</v>
      </c>
      <c r="H92">
        <v>1</v>
      </c>
      <c r="I92">
        <v>400</v>
      </c>
      <c r="J92">
        <v>10</v>
      </c>
      <c r="K92" t="s">
        <v>187</v>
      </c>
      <c r="L92" t="s">
        <v>1805</v>
      </c>
      <c r="M92">
        <v>5</v>
      </c>
      <c r="N92">
        <v>0.705078125</v>
      </c>
      <c r="O92">
        <v>0.705078125</v>
      </c>
      <c r="P92" t="s">
        <v>1806</v>
      </c>
      <c r="Q92">
        <v>0</v>
      </c>
      <c r="R92" t="s">
        <v>194</v>
      </c>
      <c r="T92">
        <v>32254.336473146999</v>
      </c>
      <c r="U92">
        <v>32532.525024414001</v>
      </c>
      <c r="V92">
        <v>13088</v>
      </c>
      <c r="W92">
        <v>14470.6797918469</v>
      </c>
      <c r="X92">
        <v>0.44864292291035901</v>
      </c>
      <c r="Y92">
        <v>53.969113969752698</v>
      </c>
      <c r="Z92">
        <v>1.04539345201027E-2</v>
      </c>
      <c r="AA92">
        <v>3.8829499901119099E-2</v>
      </c>
      <c r="AB92">
        <v>2.9531084816527802</v>
      </c>
      <c r="AC92">
        <v>0.33862623273504699</v>
      </c>
      <c r="AD92">
        <v>1.9531084816527799</v>
      </c>
      <c r="AE92" t="s">
        <v>1807</v>
      </c>
      <c r="AF92" t="s">
        <v>1808</v>
      </c>
      <c r="AG92" t="s">
        <v>1809</v>
      </c>
      <c r="AH92" t="s">
        <v>193</v>
      </c>
      <c r="AI92" t="s">
        <v>193</v>
      </c>
      <c r="AJ92" t="s">
        <v>193</v>
      </c>
      <c r="AK92" t="s">
        <v>193</v>
      </c>
      <c r="AL92" t="s">
        <v>193</v>
      </c>
      <c r="AM92" t="s">
        <v>193</v>
      </c>
      <c r="AN92" t="s">
        <v>193</v>
      </c>
      <c r="AO92" t="s">
        <v>193</v>
      </c>
      <c r="AP92" t="s">
        <v>193</v>
      </c>
      <c r="AQ92">
        <v>0.57078850127394298</v>
      </c>
      <c r="AR92" t="s">
        <v>193</v>
      </c>
      <c r="AS92" t="s">
        <v>193</v>
      </c>
      <c r="AT92">
        <v>97.171274676801701</v>
      </c>
      <c r="AU92" t="s">
        <v>193</v>
      </c>
      <c r="AV92" s="2">
        <v>25968228.015995599</v>
      </c>
      <c r="AW92">
        <v>63.108114303178397</v>
      </c>
      <c r="AX92">
        <v>7681.4656187546498</v>
      </c>
      <c r="AY92">
        <v>-2.7223622395654501</v>
      </c>
      <c r="AZ92">
        <v>10.886786599885101</v>
      </c>
      <c r="BA92">
        <v>87</v>
      </c>
      <c r="BB92">
        <v>-742</v>
      </c>
      <c r="BC92">
        <v>-35</v>
      </c>
      <c r="BD92">
        <v>49</v>
      </c>
      <c r="BE92">
        <v>87</v>
      </c>
      <c r="BF92">
        <v>110</v>
      </c>
      <c r="BG92">
        <v>131</v>
      </c>
      <c r="BH92">
        <v>87.6439708066371</v>
      </c>
      <c r="BI92">
        <v>248</v>
      </c>
      <c r="BJ92">
        <v>61</v>
      </c>
      <c r="BK92">
        <v>990</v>
      </c>
      <c r="BL92">
        <v>57.178826696350299</v>
      </c>
      <c r="BM92">
        <v>29.413680705316999</v>
      </c>
      <c r="BN92">
        <v>52.225015281173597</v>
      </c>
      <c r="BO92">
        <v>1.38879083576456</v>
      </c>
      <c r="BP92">
        <v>0.383647798742138</v>
      </c>
      <c r="BQ92" t="s">
        <v>194</v>
      </c>
      <c r="BR92" s="2">
        <v>152659737</v>
      </c>
      <c r="BS92">
        <v>108.000461617799</v>
      </c>
      <c r="BT92">
        <v>2053.06630781173</v>
      </c>
      <c r="BU92">
        <v>14856.0557683308</v>
      </c>
      <c r="BV92">
        <v>0.50459219360351504</v>
      </c>
      <c r="BW92">
        <v>122.71921539306599</v>
      </c>
      <c r="BX92">
        <v>1.04149816894531</v>
      </c>
      <c r="BY92">
        <v>117.57040405273401</v>
      </c>
      <c r="BZ92">
        <v>74.226890563964801</v>
      </c>
      <c r="CA92" t="s">
        <v>1810</v>
      </c>
      <c r="CB92" t="s">
        <v>1811</v>
      </c>
      <c r="CC92" t="s">
        <v>1812</v>
      </c>
      <c r="CD92" t="s">
        <v>1813</v>
      </c>
      <c r="CE92" t="s">
        <v>1814</v>
      </c>
      <c r="CF92" t="s">
        <v>1815</v>
      </c>
      <c r="CG92" t="s">
        <v>1816</v>
      </c>
      <c r="CH92">
        <v>106.858343520782</v>
      </c>
      <c r="CI92">
        <v>76.847445666834204</v>
      </c>
      <c r="CJ92">
        <v>-2.7188407570109199</v>
      </c>
      <c r="CK92">
        <v>10.870085724889501</v>
      </c>
      <c r="CL92">
        <v>109</v>
      </c>
      <c r="CM92">
        <v>26</v>
      </c>
      <c r="CN92">
        <v>97</v>
      </c>
      <c r="CO92">
        <v>105</v>
      </c>
      <c r="CP92">
        <v>109</v>
      </c>
      <c r="CQ92">
        <v>112</v>
      </c>
      <c r="CR92">
        <v>114</v>
      </c>
      <c r="CS92">
        <v>8.7662674877529394</v>
      </c>
      <c r="CT92">
        <v>125</v>
      </c>
      <c r="CU92">
        <v>111</v>
      </c>
      <c r="CV92">
        <v>7</v>
      </c>
      <c r="CW92">
        <v>99</v>
      </c>
      <c r="CX92">
        <v>5.7181600495567801</v>
      </c>
      <c r="CY92">
        <v>3.0596237224815099</v>
      </c>
      <c r="CZ92">
        <v>5.2214242053789697</v>
      </c>
      <c r="DA92">
        <v>8.2036340812713604E-2</v>
      </c>
      <c r="DB92">
        <v>3.2258064516128997E-2</v>
      </c>
      <c r="DC92">
        <v>1.3792344674792001</v>
      </c>
      <c r="DD92">
        <v>4.5817177269561604</v>
      </c>
      <c r="DE92">
        <v>1068.58343520779</v>
      </c>
      <c r="DF92">
        <v>6.2109213875156097E-2</v>
      </c>
      <c r="DG92">
        <v>2.1784187832248102E-3</v>
      </c>
      <c r="DH92">
        <v>245.5</v>
      </c>
      <c r="DI92">
        <v>108</v>
      </c>
      <c r="DJ92">
        <v>-344</v>
      </c>
      <c r="DK92">
        <v>113</v>
      </c>
      <c r="DL92">
        <v>0.50459219360351504</v>
      </c>
      <c r="DM92">
        <v>122.71921539306599</v>
      </c>
      <c r="DN92">
        <v>1.04149816894531</v>
      </c>
      <c r="DO92">
        <v>117.57040405273401</v>
      </c>
      <c r="DP92">
        <v>74.226890563964801</v>
      </c>
      <c r="DQ92" t="s">
        <v>1817</v>
      </c>
      <c r="DR92" t="s">
        <v>1818</v>
      </c>
      <c r="DS92" t="s">
        <v>1819</v>
      </c>
      <c r="DT92" t="s">
        <v>1820</v>
      </c>
      <c r="DU92" t="s">
        <v>1814</v>
      </c>
      <c r="DV92" t="s">
        <v>1815</v>
      </c>
      <c r="DW92" t="s">
        <v>1821</v>
      </c>
      <c r="DX92">
        <v>2.6518414578911301E-2</v>
      </c>
      <c r="DY92">
        <v>107.625021092175</v>
      </c>
      <c r="DZ92">
        <v>60.608229638945197</v>
      </c>
      <c r="EA92">
        <v>8.4443453540102702</v>
      </c>
      <c r="EB92">
        <v>2.54200124530287</v>
      </c>
      <c r="EC92">
        <v>4.6278985088942299</v>
      </c>
      <c r="ED92">
        <v>47.387716979637403</v>
      </c>
      <c r="EE92">
        <v>8.4443453540101601</v>
      </c>
      <c r="EF92">
        <v>215.25004218435001</v>
      </c>
      <c r="EG92">
        <v>120.429921318151</v>
      </c>
      <c r="EH92">
        <v>1.38444069205818</v>
      </c>
      <c r="EI92">
        <v>7.7490105037941797E-3</v>
      </c>
      <c r="EJ92">
        <v>68.805161588263005</v>
      </c>
      <c r="EK92">
        <v>4.6278985088942299</v>
      </c>
      <c r="EL92">
        <v>0.391278296642535</v>
      </c>
      <c r="EM92">
        <v>0.95922452174453698</v>
      </c>
      <c r="EN92">
        <v>0.32248598625821701</v>
      </c>
      <c r="EO92">
        <v>0.99369166654583496</v>
      </c>
      <c r="EP92" s="2">
        <v>2.1763273586713898E-6</v>
      </c>
      <c r="EQ92">
        <v>0.43237773155437798</v>
      </c>
      <c r="ER92">
        <v>11609.3508139359</v>
      </c>
      <c r="ES92">
        <v>120.429921318151</v>
      </c>
      <c r="ET92">
        <v>-5819.0819777238703</v>
      </c>
      <c r="EU92">
        <v>417607.69012384198</v>
      </c>
      <c r="EV92">
        <v>0.92538630980943604</v>
      </c>
      <c r="EW92">
        <v>1.44088128164705</v>
      </c>
      <c r="EX92" s="2">
        <v>9.1431396840761396E-5</v>
      </c>
      <c r="EY92">
        <v>11422.719266063599</v>
      </c>
      <c r="EZ92" s="2">
        <v>8.5208610180290194E-5</v>
      </c>
      <c r="FA92">
        <v>10521.6013578903</v>
      </c>
      <c r="FB92" s="2">
        <v>1.28069546907586E-4</v>
      </c>
      <c r="FC92">
        <v>16760.3871292517</v>
      </c>
      <c r="FD92">
        <v>684.92828713990696</v>
      </c>
      <c r="FE92">
        <v>9871.7894688579509</v>
      </c>
      <c r="FF92">
        <v>0.89829791235659195</v>
      </c>
      <c r="FG92" s="2">
        <v>5.4199476261684203E-4</v>
      </c>
      <c r="FH92">
        <v>7.6182928002847802E-2</v>
      </c>
      <c r="FI92">
        <v>0.12627514726099401</v>
      </c>
      <c r="FJ92">
        <v>13726.8713295008</v>
      </c>
      <c r="FK92">
        <v>4.7612377194151803</v>
      </c>
      <c r="FL92">
        <v>0.70315279153804899</v>
      </c>
      <c r="FM92">
        <v>226.972798524665</v>
      </c>
      <c r="FN92" s="2">
        <v>1.03267401689473E-4</v>
      </c>
      <c r="FO92">
        <v>10491.1058091286</v>
      </c>
      <c r="FP92" s="2">
        <v>7.6527247451830803E-5</v>
      </c>
      <c r="FQ92">
        <v>7089.84203379263</v>
      </c>
      <c r="FR92">
        <v>1.8573538682867E-2</v>
      </c>
      <c r="FS92">
        <v>2777886.4923927998</v>
      </c>
      <c r="FT92">
        <v>135.840940525587</v>
      </c>
      <c r="FU92">
        <v>3.13141863821087E-2</v>
      </c>
      <c r="FV92">
        <v>1983.0465652374301</v>
      </c>
      <c r="FW92">
        <v>0.45713383246598299</v>
      </c>
      <c r="FX92">
        <v>0.33144865525672301</v>
      </c>
      <c r="FY92">
        <v>144.820841785238</v>
      </c>
      <c r="FZ92">
        <v>217.870156216488</v>
      </c>
      <c r="GA92">
        <v>7.0395012940452304</v>
      </c>
    </row>
    <row r="93" spans="1:183" x14ac:dyDescent="0.2">
      <c r="A93" t="s">
        <v>2517</v>
      </c>
      <c r="B93" t="s">
        <v>182</v>
      </c>
      <c r="C93" t="s">
        <v>1822</v>
      </c>
      <c r="D93" s="1">
        <v>41657</v>
      </c>
      <c r="E93" t="s">
        <v>362</v>
      </c>
      <c r="F93" t="s">
        <v>185</v>
      </c>
      <c r="G93" t="s">
        <v>186</v>
      </c>
      <c r="H93">
        <v>1</v>
      </c>
      <c r="I93">
        <v>400</v>
      </c>
      <c r="J93">
        <v>10</v>
      </c>
      <c r="K93" t="s">
        <v>187</v>
      </c>
      <c r="L93" t="s">
        <v>1823</v>
      </c>
      <c r="M93">
        <v>5</v>
      </c>
      <c r="N93">
        <v>0.7734375</v>
      </c>
      <c r="O93">
        <v>0.7734375</v>
      </c>
      <c r="P93" t="s">
        <v>1824</v>
      </c>
      <c r="Q93">
        <v>0</v>
      </c>
      <c r="R93" t="s">
        <v>194</v>
      </c>
      <c r="T93">
        <v>134033.19145202599</v>
      </c>
      <c r="U93">
        <v>134345.00610351501</v>
      </c>
      <c r="V93">
        <v>44916</v>
      </c>
      <c r="W93">
        <v>21846.654479327201</v>
      </c>
      <c r="X93">
        <v>0.162994361640241</v>
      </c>
      <c r="Y93">
        <v>24.091567136755401</v>
      </c>
      <c r="Z93">
        <v>2.34185505801736E-2</v>
      </c>
      <c r="AA93">
        <v>0.19485980814866299</v>
      </c>
      <c r="AB93">
        <v>1.72488141613098</v>
      </c>
      <c r="AC93">
        <v>0.57974999941912697</v>
      </c>
      <c r="AD93">
        <v>0.724881416130981</v>
      </c>
      <c r="AE93" t="s">
        <v>1825</v>
      </c>
      <c r="AF93" t="s">
        <v>1826</v>
      </c>
      <c r="AG93" t="s">
        <v>1827</v>
      </c>
      <c r="AH93" t="s">
        <v>193</v>
      </c>
      <c r="AI93" t="s">
        <v>193</v>
      </c>
      <c r="AJ93" t="s">
        <v>193</v>
      </c>
      <c r="AK93" t="s">
        <v>193</v>
      </c>
      <c r="AL93" t="s">
        <v>193</v>
      </c>
      <c r="AM93" t="s">
        <v>193</v>
      </c>
      <c r="AN93" t="s">
        <v>193</v>
      </c>
      <c r="AO93" t="s">
        <v>193</v>
      </c>
      <c r="AP93" t="s">
        <v>193</v>
      </c>
      <c r="AQ93">
        <v>0.105623009695579</v>
      </c>
      <c r="AR93" t="s">
        <v>193</v>
      </c>
      <c r="AS93" t="s">
        <v>193</v>
      </c>
      <c r="AT93">
        <v>99.577751720428495</v>
      </c>
      <c r="AU93" t="s">
        <v>193</v>
      </c>
      <c r="AV93" s="2">
        <v>62851229.918278098</v>
      </c>
      <c r="AW93">
        <v>76.922878261643206</v>
      </c>
      <c r="AX93">
        <v>781.11570153838898</v>
      </c>
      <c r="AY93">
        <v>-1.24028188988955</v>
      </c>
      <c r="AZ93">
        <v>23.4742241703524</v>
      </c>
      <c r="BA93">
        <v>79</v>
      </c>
      <c r="BB93">
        <v>-392</v>
      </c>
      <c r="BC93">
        <v>47</v>
      </c>
      <c r="BD93">
        <v>64</v>
      </c>
      <c r="BE93">
        <v>79</v>
      </c>
      <c r="BF93">
        <v>93</v>
      </c>
      <c r="BG93">
        <v>105</v>
      </c>
      <c r="BH93">
        <v>27.948447211578401</v>
      </c>
      <c r="BI93">
        <v>726</v>
      </c>
      <c r="BJ93">
        <v>29</v>
      </c>
      <c r="BK93">
        <v>1118</v>
      </c>
      <c r="BL93">
        <v>19.212678160113899</v>
      </c>
      <c r="BM93">
        <v>12.241276061350799</v>
      </c>
      <c r="BN93">
        <v>19.099741740137102</v>
      </c>
      <c r="BO93">
        <v>0.36333075208802501</v>
      </c>
      <c r="BP93">
        <v>0.184713375796178</v>
      </c>
      <c r="BQ93" t="s">
        <v>194</v>
      </c>
      <c r="BR93" s="2">
        <v>300858368</v>
      </c>
      <c r="BS93">
        <v>81.842806046677595</v>
      </c>
      <c r="BT93">
        <v>10334.2045495604</v>
      </c>
      <c r="BU93">
        <v>90979.090576171802</v>
      </c>
      <c r="BV93">
        <v>0.55932220458984305</v>
      </c>
      <c r="BW93">
        <v>103.919784545898</v>
      </c>
      <c r="BX93">
        <v>1.00199432373046</v>
      </c>
      <c r="BY93">
        <v>98.731346130371094</v>
      </c>
      <c r="BZ93">
        <v>90.365219116210895</v>
      </c>
      <c r="CA93" t="s">
        <v>1828</v>
      </c>
      <c r="CB93" t="s">
        <v>1829</v>
      </c>
      <c r="CC93" t="s">
        <v>1830</v>
      </c>
      <c r="CD93" t="s">
        <v>1831</v>
      </c>
      <c r="CE93" t="s">
        <v>1832</v>
      </c>
      <c r="CF93" t="s">
        <v>1833</v>
      </c>
      <c r="CG93" t="s">
        <v>1834</v>
      </c>
      <c r="CH93">
        <v>108.242986908897</v>
      </c>
      <c r="CI93">
        <v>7.8988342879218703</v>
      </c>
      <c r="CJ93">
        <v>-1.2253522429602199</v>
      </c>
      <c r="CK93">
        <v>23.1053023469719</v>
      </c>
      <c r="CL93">
        <v>108</v>
      </c>
      <c r="CM93">
        <v>61</v>
      </c>
      <c r="CN93">
        <v>105</v>
      </c>
      <c r="CO93">
        <v>107</v>
      </c>
      <c r="CP93">
        <v>108</v>
      </c>
      <c r="CQ93">
        <v>110</v>
      </c>
      <c r="CR93">
        <v>111</v>
      </c>
      <c r="CS93">
        <v>2.81048648598812</v>
      </c>
      <c r="CT93">
        <v>173</v>
      </c>
      <c r="CU93">
        <v>109</v>
      </c>
      <c r="CV93">
        <v>3</v>
      </c>
      <c r="CW93">
        <v>112</v>
      </c>
      <c r="CX93">
        <v>1.94101510637117</v>
      </c>
      <c r="CY93">
        <v>1.38557241250383</v>
      </c>
      <c r="CZ93">
        <v>1.9395760976044101</v>
      </c>
      <c r="DA93">
        <v>2.5964605802624101E-2</v>
      </c>
      <c r="DB93">
        <v>1.3824884792626699E-2</v>
      </c>
      <c r="DC93">
        <v>1.00500591990842</v>
      </c>
      <c r="DD93">
        <v>3.3385574008718901</v>
      </c>
      <c r="DE93">
        <v>1082.42986908899</v>
      </c>
      <c r="DF93">
        <v>0.12701640285325</v>
      </c>
      <c r="DG93">
        <v>1.68162582406876E-3</v>
      </c>
      <c r="DH93">
        <v>2069</v>
      </c>
      <c r="DI93">
        <v>107</v>
      </c>
      <c r="DJ93">
        <v>-2654</v>
      </c>
      <c r="DK93">
        <v>111</v>
      </c>
      <c r="DL93">
        <v>0.55932220458984305</v>
      </c>
      <c r="DM93">
        <v>103.919784545898</v>
      </c>
      <c r="DN93">
        <v>1.00199432373046</v>
      </c>
      <c r="DO93">
        <v>98.731346130371094</v>
      </c>
      <c r="DP93">
        <v>90.365219116210895</v>
      </c>
      <c r="DQ93" t="s">
        <v>1835</v>
      </c>
      <c r="DR93" t="s">
        <v>1836</v>
      </c>
      <c r="DS93" t="s">
        <v>1837</v>
      </c>
      <c r="DT93" t="s">
        <v>1838</v>
      </c>
      <c r="DU93" t="s">
        <v>1832</v>
      </c>
      <c r="DV93" t="s">
        <v>1833</v>
      </c>
      <c r="DW93" t="s">
        <v>1839</v>
      </c>
      <c r="DX93">
        <v>4.7946015419181101E-2</v>
      </c>
      <c r="DY93">
        <v>108.369189940505</v>
      </c>
      <c r="DZ93">
        <v>6.0854566210018799</v>
      </c>
      <c r="EA93">
        <v>6.2912795779942803</v>
      </c>
      <c r="EB93">
        <v>1.89386386408449</v>
      </c>
      <c r="EC93">
        <v>1.88335003712312</v>
      </c>
      <c r="ED93">
        <v>3.69514589510118</v>
      </c>
      <c r="EE93">
        <v>6.2912795779942501</v>
      </c>
      <c r="EF93">
        <v>216.73837988101101</v>
      </c>
      <c r="EG93">
        <v>15.6628249808465</v>
      </c>
      <c r="EH93">
        <v>6.19680590186299</v>
      </c>
      <c r="EI93">
        <v>2.1008343297525399E-2</v>
      </c>
      <c r="EJ93">
        <v>7.24215325743286</v>
      </c>
      <c r="EK93">
        <v>1.88335003712312</v>
      </c>
      <c r="EL93">
        <v>0.48139903925287503</v>
      </c>
      <c r="EM93">
        <v>0.98386789036901001</v>
      </c>
      <c r="EN93">
        <v>0.41583314056123699</v>
      </c>
      <c r="EO93">
        <v>0.999437084605444</v>
      </c>
      <c r="EP93">
        <v>0</v>
      </c>
      <c r="EQ93">
        <v>0.40496221496024998</v>
      </c>
      <c r="ER93">
        <v>11746.3457083537</v>
      </c>
      <c r="ES93">
        <v>15.6628249808465</v>
      </c>
      <c r="ET93">
        <v>-57.986732714505301</v>
      </c>
      <c r="EU93">
        <v>3690.64751566308</v>
      </c>
      <c r="EV93">
        <v>0.87398687893408999</v>
      </c>
      <c r="EW93">
        <v>1.72827076290007</v>
      </c>
      <c r="EX93" s="2">
        <v>8.5647950801184803E-5</v>
      </c>
      <c r="EY93">
        <v>11713.061086113201</v>
      </c>
      <c r="EZ93" s="2">
        <v>7.4932933770723796E-5</v>
      </c>
      <c r="FA93">
        <v>10229.3360927065</v>
      </c>
      <c r="FB93" s="2">
        <v>1.4750951441952601E-4</v>
      </c>
      <c r="FC93">
        <v>20295.880629277999</v>
      </c>
      <c r="FD93">
        <v>4489.8679891333904</v>
      </c>
      <c r="FE93">
        <v>27161.8874772817</v>
      </c>
      <c r="FF93">
        <v>0.83272022304883597</v>
      </c>
      <c r="FG93" s="2">
        <v>1.6730981712534301E-4</v>
      </c>
      <c r="FH93">
        <v>5.0250268550029297E-3</v>
      </c>
      <c r="FI93">
        <v>0.46445357806948401</v>
      </c>
      <c r="FJ93">
        <v>3359.5514102411298</v>
      </c>
      <c r="FK93">
        <v>1.08023421664678</v>
      </c>
      <c r="FL93">
        <v>0.65107326283578104</v>
      </c>
      <c r="FM93">
        <v>28320.678819444402</v>
      </c>
      <c r="FN93" s="2">
        <v>8.7798511002131995E-5</v>
      </c>
      <c r="FO93">
        <v>11521.8454861111</v>
      </c>
      <c r="FP93" s="2">
        <v>5.7628481432627899E-5</v>
      </c>
      <c r="FQ93">
        <v>7464.68050175592</v>
      </c>
      <c r="FR93">
        <v>2.3910712157993701</v>
      </c>
      <c r="FS93" s="2">
        <v>335537710.01284701</v>
      </c>
      <c r="FT93">
        <v>374.11319444444399</v>
      </c>
      <c r="FU93">
        <v>6.4950207368827104E-2</v>
      </c>
      <c r="FV93">
        <v>2261.015625</v>
      </c>
      <c r="FW93">
        <v>0.39253743489583298</v>
      </c>
      <c r="FX93">
        <v>0.12823938017632899</v>
      </c>
      <c r="FY93">
        <v>30.973243513696001</v>
      </c>
      <c r="FZ93">
        <v>28259.871315104101</v>
      </c>
      <c r="GA93">
        <v>6.36635266979986</v>
      </c>
    </row>
    <row r="94" spans="1:183" x14ac:dyDescent="0.2">
      <c r="A94" t="s">
        <v>2518</v>
      </c>
      <c r="B94" t="s">
        <v>182</v>
      </c>
      <c r="C94" t="s">
        <v>1840</v>
      </c>
      <c r="D94" s="1">
        <v>43216</v>
      </c>
      <c r="E94" t="s">
        <v>1841</v>
      </c>
      <c r="F94" t="s">
        <v>185</v>
      </c>
      <c r="G94" t="s">
        <v>186</v>
      </c>
      <c r="H94">
        <v>1</v>
      </c>
      <c r="I94">
        <v>400</v>
      </c>
      <c r="J94">
        <v>10</v>
      </c>
      <c r="K94" t="s">
        <v>187</v>
      </c>
      <c r="L94" t="s">
        <v>1842</v>
      </c>
      <c r="M94">
        <v>3</v>
      </c>
      <c r="N94">
        <v>0.71700000762939398</v>
      </c>
      <c r="O94">
        <v>0.71700000762939398</v>
      </c>
      <c r="P94" t="s">
        <v>1843</v>
      </c>
      <c r="Q94">
        <v>0</v>
      </c>
      <c r="R94" t="s">
        <v>194</v>
      </c>
      <c r="T94">
        <v>57030.398953875301</v>
      </c>
      <c r="U94">
        <v>57307.557185999904</v>
      </c>
      <c r="V94">
        <v>37158</v>
      </c>
      <c r="W94">
        <v>17737.3271364832</v>
      </c>
      <c r="X94">
        <v>0.31101530870981098</v>
      </c>
      <c r="Y94">
        <v>41.421503078281603</v>
      </c>
      <c r="Z94">
        <v>1.36206931574044E-2</v>
      </c>
      <c r="AA94">
        <v>6.5917490450467603E-2</v>
      </c>
      <c r="AB94">
        <v>2.4755200320501101</v>
      </c>
      <c r="AC94">
        <v>0.40395552734503398</v>
      </c>
      <c r="AD94">
        <v>1.4755200320501101</v>
      </c>
      <c r="AE94" t="s">
        <v>1844</v>
      </c>
      <c r="AF94" t="s">
        <v>1845</v>
      </c>
      <c r="AG94" t="s">
        <v>1846</v>
      </c>
      <c r="AH94" t="s">
        <v>193</v>
      </c>
      <c r="AI94" t="s">
        <v>193</v>
      </c>
      <c r="AJ94" t="s">
        <v>193</v>
      </c>
      <c r="AK94" t="s">
        <v>193</v>
      </c>
      <c r="AL94" t="s">
        <v>193</v>
      </c>
      <c r="AM94" t="s">
        <v>193</v>
      </c>
      <c r="AN94" t="s">
        <v>193</v>
      </c>
      <c r="AO94" t="s">
        <v>193</v>
      </c>
      <c r="AP94" t="s">
        <v>193</v>
      </c>
      <c r="AQ94">
        <v>7.00032160931056E-2</v>
      </c>
      <c r="AR94" t="s">
        <v>193</v>
      </c>
      <c r="AS94" t="s">
        <v>193</v>
      </c>
      <c r="AT94">
        <v>102.169147324424</v>
      </c>
      <c r="AU94" t="s">
        <v>193</v>
      </c>
      <c r="AV94" s="2">
        <v>60532933.844059698</v>
      </c>
      <c r="AW94">
        <v>62.415226869045703</v>
      </c>
      <c r="AX94">
        <v>3644.2891023369698</v>
      </c>
      <c r="AY94">
        <v>-3.2162888095333999</v>
      </c>
      <c r="AZ94">
        <v>33.762807324664301</v>
      </c>
      <c r="BA94">
        <v>65</v>
      </c>
      <c r="BB94">
        <v>-999</v>
      </c>
      <c r="BC94">
        <v>9</v>
      </c>
      <c r="BD94">
        <v>37</v>
      </c>
      <c r="BE94">
        <v>65</v>
      </c>
      <c r="BF94">
        <v>94</v>
      </c>
      <c r="BG94">
        <v>121</v>
      </c>
      <c r="BH94">
        <v>60.367947640589598</v>
      </c>
      <c r="BI94">
        <v>601</v>
      </c>
      <c r="BJ94">
        <v>57</v>
      </c>
      <c r="BK94">
        <v>1600</v>
      </c>
      <c r="BL94">
        <v>38.550792815492201</v>
      </c>
      <c r="BM94">
        <v>23.920960961867099</v>
      </c>
      <c r="BN94">
        <v>38.471903762312202</v>
      </c>
      <c r="BO94">
        <v>0.96719904210631902</v>
      </c>
      <c r="BP94">
        <v>0.43511450381679301</v>
      </c>
      <c r="BQ94" t="s">
        <v>194</v>
      </c>
      <c r="BR94" s="2">
        <v>280169449</v>
      </c>
      <c r="BS94">
        <v>86.832883445451799</v>
      </c>
      <c r="BT94">
        <v>3576.8641830749998</v>
      </c>
      <c r="BU94">
        <v>41150.254004999901</v>
      </c>
      <c r="BV94">
        <v>0.522828491210937</v>
      </c>
      <c r="BW94">
        <v>114.35693359375</v>
      </c>
      <c r="BX94">
        <v>1.00710034179687</v>
      </c>
      <c r="BY94">
        <v>106.019905090332</v>
      </c>
      <c r="BZ94">
        <v>98.455001831054602</v>
      </c>
      <c r="CA94" t="s">
        <v>1847</v>
      </c>
      <c r="CB94" t="s">
        <v>1848</v>
      </c>
      <c r="CC94" t="s">
        <v>1849</v>
      </c>
      <c r="CD94" t="s">
        <v>1850</v>
      </c>
      <c r="CE94" t="s">
        <v>1851</v>
      </c>
      <c r="CF94" t="s">
        <v>1852</v>
      </c>
      <c r="CG94" t="s">
        <v>1853</v>
      </c>
      <c r="CH94">
        <v>106.79065073469999</v>
      </c>
      <c r="CI94">
        <v>36.5094588531474</v>
      </c>
      <c r="CJ94">
        <v>-3.2059293258469501</v>
      </c>
      <c r="CK94">
        <v>33.598537995555702</v>
      </c>
      <c r="CL94">
        <v>107</v>
      </c>
      <c r="CM94">
        <v>1</v>
      </c>
      <c r="CN94">
        <v>101</v>
      </c>
      <c r="CO94">
        <v>104</v>
      </c>
      <c r="CP94">
        <v>107</v>
      </c>
      <c r="CQ94">
        <v>110</v>
      </c>
      <c r="CR94">
        <v>113</v>
      </c>
      <c r="CS94">
        <v>6.0423057563439597</v>
      </c>
      <c r="CT94">
        <v>161</v>
      </c>
      <c r="CU94">
        <v>108</v>
      </c>
      <c r="CV94">
        <v>6</v>
      </c>
      <c r="CW94">
        <v>160</v>
      </c>
      <c r="CX94">
        <v>3.8627476818629698</v>
      </c>
      <c r="CY94">
        <v>2.6124329592365299</v>
      </c>
      <c r="CZ94">
        <v>3.8402228322299301</v>
      </c>
      <c r="DA94">
        <v>5.6580849679012002E-2</v>
      </c>
      <c r="DB94">
        <v>2.8037383177569999E-2</v>
      </c>
      <c r="DC94">
        <v>1.30031376071042</v>
      </c>
      <c r="DD94">
        <v>4.3195488138725997</v>
      </c>
      <c r="DE94">
        <v>1067.9065073469999</v>
      </c>
      <c r="DF94">
        <v>6.4498050159395304E-2</v>
      </c>
      <c r="DG94">
        <v>1.3174893936453999E-3</v>
      </c>
      <c r="DH94">
        <v>551</v>
      </c>
      <c r="DI94">
        <v>103</v>
      </c>
      <c r="DJ94">
        <v>-543.5</v>
      </c>
      <c r="DK94">
        <v>111</v>
      </c>
      <c r="DL94">
        <v>0.522828491210937</v>
      </c>
      <c r="DM94">
        <v>114.35693359375</v>
      </c>
      <c r="DN94">
        <v>1.00710034179687</v>
      </c>
      <c r="DO94">
        <v>106.019905090332</v>
      </c>
      <c r="DP94">
        <v>98.455001831054602</v>
      </c>
      <c r="DQ94" t="s">
        <v>1854</v>
      </c>
      <c r="DR94" t="s">
        <v>1855</v>
      </c>
      <c r="DS94" t="s">
        <v>1856</v>
      </c>
      <c r="DT94" t="s">
        <v>1857</v>
      </c>
      <c r="DU94" t="s">
        <v>1851</v>
      </c>
      <c r="DV94" t="s">
        <v>1852</v>
      </c>
      <c r="DW94" t="s">
        <v>1858</v>
      </c>
      <c r="DX94">
        <v>1.00148404896365E-2</v>
      </c>
      <c r="DY94">
        <v>107.015764285217</v>
      </c>
      <c r="DZ94">
        <v>26.165880310729801</v>
      </c>
      <c r="EA94">
        <v>8.3548906356017092</v>
      </c>
      <c r="EB94">
        <v>2.5150726918081401</v>
      </c>
      <c r="EC94">
        <v>4.4069730381171297</v>
      </c>
      <c r="ED94">
        <v>20.303865281979501</v>
      </c>
      <c r="EE94">
        <v>8.3548906356018602</v>
      </c>
      <c r="EF94">
        <v>214.03152857043401</v>
      </c>
      <c r="EG94">
        <v>64.938244602247906</v>
      </c>
      <c r="EH94">
        <v>8.3548906356017092</v>
      </c>
      <c r="EI94">
        <v>4.8678839943044096E-3</v>
      </c>
      <c r="EJ94">
        <v>39.7252766406707</v>
      </c>
      <c r="EK94">
        <v>4.4069730381171297</v>
      </c>
      <c r="EL94">
        <v>0.30698316728185698</v>
      </c>
      <c r="EM94">
        <v>0.97400748982974905</v>
      </c>
      <c r="EN94">
        <v>0.21367067813787199</v>
      </c>
      <c r="EO94">
        <v>0.99850848720671004</v>
      </c>
      <c r="EP94" s="2">
        <v>2.9163673279102101E-6</v>
      </c>
      <c r="EQ94">
        <v>0.240895468279334</v>
      </c>
      <c r="ER94">
        <v>11458.6770475393</v>
      </c>
      <c r="ES94">
        <v>64.938244602247906</v>
      </c>
      <c r="ET94">
        <v>-994.63072266770803</v>
      </c>
      <c r="EU94">
        <v>110494.480325429</v>
      </c>
      <c r="EV94">
        <v>0.95014014396687496</v>
      </c>
      <c r="EW94">
        <v>1.2259054018201201</v>
      </c>
      <c r="EX94" s="2">
        <v>1.18618646229068E-4</v>
      </c>
      <c r="EY94">
        <v>11437.5213000188</v>
      </c>
      <c r="EZ94" s="2">
        <v>1.14260761161657E-4</v>
      </c>
      <c r="FA94">
        <v>10864.7754866294</v>
      </c>
      <c r="FB94" s="2">
        <v>1.38363392667703E-4</v>
      </c>
      <c r="FC94">
        <v>14032.0994262805</v>
      </c>
      <c r="FD94">
        <v>2188.6360705714801</v>
      </c>
      <c r="FE94">
        <v>30442.8575014907</v>
      </c>
      <c r="FF94">
        <v>0.93369271344404503</v>
      </c>
      <c r="FG94" s="2">
        <v>1.77909848630476E-4</v>
      </c>
      <c r="FH94">
        <v>1.8391826419010202E-2</v>
      </c>
      <c r="FI94">
        <v>0.26007167907998802</v>
      </c>
      <c r="FJ94">
        <v>25671.068076881598</v>
      </c>
      <c r="FK94">
        <v>3.5005880162121801</v>
      </c>
      <c r="FL94">
        <v>0.69518419252778496</v>
      </c>
      <c r="FM94">
        <v>66.009637544521198</v>
      </c>
      <c r="FN94" s="2">
        <v>1.6303664517081199E-4</v>
      </c>
      <c r="FO94">
        <v>11358.360919058499</v>
      </c>
      <c r="FP94" s="2">
        <v>1.3637223091609999E-4</v>
      </c>
      <c r="FQ94">
        <v>7844.7032965544404</v>
      </c>
      <c r="FR94">
        <v>5.8383511556824802E-3</v>
      </c>
      <c r="FS94">
        <v>757128.70291221398</v>
      </c>
      <c r="FT94">
        <v>647.23158041762599</v>
      </c>
      <c r="FU94">
        <v>4.5200892549593301E-2</v>
      </c>
      <c r="FV94">
        <v>6395.9602625881698</v>
      </c>
      <c r="FW94">
        <v>0.446676462224189</v>
      </c>
      <c r="FX94">
        <v>0.38535443242370399</v>
      </c>
      <c r="FY94">
        <v>74.547607942479203</v>
      </c>
      <c r="FZ94">
        <v>59.275541865517397</v>
      </c>
      <c r="GA94">
        <v>6.6706881169371304</v>
      </c>
    </row>
    <row r="95" spans="1:183" x14ac:dyDescent="0.2">
      <c r="A95" t="s">
        <v>2519</v>
      </c>
      <c r="B95" t="s">
        <v>182</v>
      </c>
      <c r="C95" t="s">
        <v>1859</v>
      </c>
      <c r="D95" s="1">
        <v>43453</v>
      </c>
      <c r="E95" t="s">
        <v>362</v>
      </c>
      <c r="F95" t="s">
        <v>185</v>
      </c>
      <c r="G95" t="s">
        <v>186</v>
      </c>
      <c r="H95">
        <v>1</v>
      </c>
      <c r="I95">
        <v>400</v>
      </c>
      <c r="J95">
        <v>10</v>
      </c>
      <c r="K95" t="s">
        <v>187</v>
      </c>
      <c r="L95" t="s">
        <v>1860</v>
      </c>
      <c r="M95">
        <v>2</v>
      </c>
      <c r="N95">
        <v>0.78515625</v>
      </c>
      <c r="O95">
        <v>0.78515625</v>
      </c>
      <c r="P95" t="s">
        <v>1861</v>
      </c>
      <c r="Q95">
        <v>0</v>
      </c>
      <c r="R95" t="s">
        <v>194</v>
      </c>
      <c r="T95">
        <v>44023.739307403499</v>
      </c>
      <c r="U95">
        <v>44122.014953613201</v>
      </c>
      <c r="V95">
        <v>35786</v>
      </c>
      <c r="W95">
        <v>17147.326069333802</v>
      </c>
      <c r="X95">
        <v>0.38950180832208697</v>
      </c>
      <c r="Y95">
        <v>51.004404515799898</v>
      </c>
      <c r="Z95">
        <v>1.1061585541558099E-2</v>
      </c>
      <c r="AA95">
        <v>4.3474741713487801E-2</v>
      </c>
      <c r="AB95">
        <v>2.8439437120823001</v>
      </c>
      <c r="AC95">
        <v>0.35162439950958402</v>
      </c>
      <c r="AD95">
        <v>1.8439437120822999</v>
      </c>
      <c r="AE95" t="s">
        <v>1862</v>
      </c>
      <c r="AF95" t="s">
        <v>1863</v>
      </c>
      <c r="AG95" t="s">
        <v>1864</v>
      </c>
      <c r="AH95" t="s">
        <v>193</v>
      </c>
      <c r="AI95" t="s">
        <v>193</v>
      </c>
      <c r="AJ95" t="s">
        <v>193</v>
      </c>
      <c r="AK95" t="s">
        <v>193</v>
      </c>
      <c r="AL95" t="s">
        <v>193</v>
      </c>
      <c r="AM95" t="s">
        <v>193</v>
      </c>
      <c r="AN95" t="s">
        <v>193</v>
      </c>
      <c r="AO95" t="s">
        <v>193</v>
      </c>
      <c r="AP95" t="s">
        <v>193</v>
      </c>
      <c r="AQ95">
        <v>0.32922771482848201</v>
      </c>
      <c r="AR95" t="s">
        <v>193</v>
      </c>
      <c r="AS95" t="s">
        <v>193</v>
      </c>
      <c r="AT95">
        <v>98.627832872441502</v>
      </c>
      <c r="AU95" t="s">
        <v>193</v>
      </c>
      <c r="AV95" s="2">
        <v>44987407.224787302</v>
      </c>
      <c r="AW95">
        <v>30.889733415302</v>
      </c>
      <c r="AX95">
        <v>15533.1559517143</v>
      </c>
      <c r="AY95">
        <v>-3.4713688569987999</v>
      </c>
      <c r="AZ95">
        <v>14.6098657984183</v>
      </c>
      <c r="BA95">
        <v>64</v>
      </c>
      <c r="BB95">
        <v>-991</v>
      </c>
      <c r="BC95">
        <v>-70</v>
      </c>
      <c r="BD95">
        <v>31</v>
      </c>
      <c r="BE95">
        <v>64</v>
      </c>
      <c r="BF95">
        <v>87</v>
      </c>
      <c r="BG95">
        <v>109</v>
      </c>
      <c r="BH95">
        <v>124.63208235327799</v>
      </c>
      <c r="BI95">
        <v>238</v>
      </c>
      <c r="BJ95">
        <v>56</v>
      </c>
      <c r="BK95">
        <v>1229</v>
      </c>
      <c r="BL95">
        <v>71.185450097418695</v>
      </c>
      <c r="BM95">
        <v>26.8369301732465</v>
      </c>
      <c r="BN95">
        <v>61.614989101883403</v>
      </c>
      <c r="BO95">
        <v>4.0347412739903596</v>
      </c>
      <c r="BP95">
        <v>0.47457627118644002</v>
      </c>
      <c r="BQ95" t="s">
        <v>194</v>
      </c>
      <c r="BR95" s="2">
        <v>590015648</v>
      </c>
      <c r="BS95">
        <v>128.40300456836201</v>
      </c>
      <c r="BT95">
        <v>1362.9172796630801</v>
      </c>
      <c r="BU95">
        <v>18706.5868835449</v>
      </c>
      <c r="BV95">
        <v>0.47961392211914</v>
      </c>
      <c r="BW95">
        <v>95.339332580566406</v>
      </c>
      <c r="BX95">
        <v>1.0295054931640599</v>
      </c>
      <c r="BY95">
        <v>85.674247741699205</v>
      </c>
      <c r="BZ95">
        <v>62.7960205078125</v>
      </c>
      <c r="CA95" t="s">
        <v>1865</v>
      </c>
      <c r="CB95" t="s">
        <v>1866</v>
      </c>
      <c r="CC95" t="s">
        <v>1867</v>
      </c>
      <c r="CD95" t="s">
        <v>1868</v>
      </c>
      <c r="CE95" t="s">
        <v>1869</v>
      </c>
      <c r="CF95" t="s">
        <v>1870</v>
      </c>
      <c r="CG95" t="s">
        <v>1871</v>
      </c>
      <c r="CH95">
        <v>103.640613647794</v>
      </c>
      <c r="CI95">
        <v>155.46054133248501</v>
      </c>
      <c r="CJ95">
        <v>-3.46848758030041</v>
      </c>
      <c r="CK95">
        <v>14.5940834089236</v>
      </c>
      <c r="CL95">
        <v>107</v>
      </c>
      <c r="CM95">
        <v>1</v>
      </c>
      <c r="CN95">
        <v>94</v>
      </c>
      <c r="CO95">
        <v>104</v>
      </c>
      <c r="CP95">
        <v>107</v>
      </c>
      <c r="CQ95">
        <v>109</v>
      </c>
      <c r="CR95">
        <v>111</v>
      </c>
      <c r="CS95">
        <v>12.468381664533901</v>
      </c>
      <c r="CT95">
        <v>124</v>
      </c>
      <c r="CU95">
        <v>108</v>
      </c>
      <c r="CV95">
        <v>5</v>
      </c>
      <c r="CW95">
        <v>123</v>
      </c>
      <c r="CX95">
        <v>7.1259166210051701</v>
      </c>
      <c r="CY95">
        <v>2.6951954642773601</v>
      </c>
      <c r="CZ95">
        <v>6.1532722293634299</v>
      </c>
      <c r="DA95">
        <v>0.120304012352779</v>
      </c>
      <c r="DB95">
        <v>2.3474178403755801E-2</v>
      </c>
      <c r="DC95">
        <v>1.39747974203587</v>
      </c>
      <c r="DD95">
        <v>4.6423272171049197</v>
      </c>
      <c r="DE95">
        <v>1036.40613647795</v>
      </c>
      <c r="DF95">
        <v>6.4098055091292905E-2</v>
      </c>
      <c r="DG95">
        <v>1.33833811704434E-3</v>
      </c>
      <c r="DH95">
        <v>712.5</v>
      </c>
      <c r="DI95">
        <v>105</v>
      </c>
      <c r="DJ95">
        <v>-817</v>
      </c>
      <c r="DK95">
        <v>110</v>
      </c>
      <c r="DL95">
        <v>0.47961392211914</v>
      </c>
      <c r="DM95">
        <v>95.339332580566406</v>
      </c>
      <c r="DN95">
        <v>1.0295054931640599</v>
      </c>
      <c r="DO95">
        <v>85.674247741699205</v>
      </c>
      <c r="DP95">
        <v>62.7960205078125</v>
      </c>
      <c r="DQ95" t="s">
        <v>1872</v>
      </c>
      <c r="DR95" t="s">
        <v>1873</v>
      </c>
      <c r="DS95" t="s">
        <v>1874</v>
      </c>
      <c r="DT95" t="s">
        <v>1875</v>
      </c>
      <c r="DU95" t="s">
        <v>1869</v>
      </c>
      <c r="DV95" t="s">
        <v>1870</v>
      </c>
      <c r="DW95" t="s">
        <v>1876</v>
      </c>
      <c r="DX95">
        <v>2.0893884533659701E-2</v>
      </c>
      <c r="DY95">
        <v>105.148688729517</v>
      </c>
      <c r="DZ95">
        <v>98.308460452622398</v>
      </c>
      <c r="EA95">
        <v>8.4345670547782099</v>
      </c>
      <c r="EB95">
        <v>2.5390576839273802</v>
      </c>
      <c r="EC95">
        <v>4.8294429591517103</v>
      </c>
      <c r="ED95">
        <v>63.841162715061003</v>
      </c>
      <c r="EE95">
        <v>8.4345670547788103</v>
      </c>
      <c r="EF95">
        <v>210.297377459035</v>
      </c>
      <c r="EG95">
        <v>306.06915979972803</v>
      </c>
      <c r="EH95">
        <v>8.4345670547781602</v>
      </c>
      <c r="EI95">
        <v>7.4106654367510402E-3</v>
      </c>
      <c r="EJ95">
        <v>87.164682010761098</v>
      </c>
      <c r="EK95">
        <v>4.8294429591517103</v>
      </c>
      <c r="EL95">
        <v>0.36982993320308299</v>
      </c>
      <c r="EM95">
        <v>0.96555285492856102</v>
      </c>
      <c r="EN95">
        <v>0.29243289690837099</v>
      </c>
      <c r="EO95">
        <v>0.99481438299803504</v>
      </c>
      <c r="EP95">
        <v>1.3403334591307299E-3</v>
      </c>
      <c r="EQ95">
        <v>0.55667761650703396</v>
      </c>
      <c r="ER95">
        <v>11110.9728609843</v>
      </c>
      <c r="ES95">
        <v>306.06915979972803</v>
      </c>
      <c r="ET95">
        <v>-21028.283931329501</v>
      </c>
      <c r="EU95">
        <v>2290057.1018046299</v>
      </c>
      <c r="EV95">
        <v>0.92495797849261296</v>
      </c>
      <c r="EW95">
        <v>1.3759935044553799</v>
      </c>
      <c r="EX95" s="2">
        <v>1.4941576995604301E-4</v>
      </c>
      <c r="EY95">
        <v>10822.4685404554</v>
      </c>
      <c r="EZ95" s="2">
        <v>1.42660784288766E-4</v>
      </c>
      <c r="FA95">
        <v>9955.5703092807507</v>
      </c>
      <c r="FB95" s="2">
        <v>1.83000797426285E-4</v>
      </c>
      <c r="FC95">
        <v>15167.7433122287</v>
      </c>
      <c r="FD95">
        <v>1939.22299215562</v>
      </c>
      <c r="FE95">
        <v>26493.333568571401</v>
      </c>
      <c r="FF95">
        <v>0.89908172082765503</v>
      </c>
      <c r="FG95" s="2">
        <v>2.1345072049111101E-4</v>
      </c>
      <c r="FH95">
        <v>8.2678212345753593E-2</v>
      </c>
      <c r="FI95">
        <v>0.22157483828288199</v>
      </c>
      <c r="FJ95">
        <v>28987.2213143357</v>
      </c>
      <c r="FK95">
        <v>5.0884651832197196</v>
      </c>
      <c r="FL95">
        <v>0.762398144806545</v>
      </c>
      <c r="FM95">
        <v>2306.42950307706</v>
      </c>
      <c r="FN95" s="2">
        <v>2.6137216744218398E-4</v>
      </c>
      <c r="FO95">
        <v>9461.8159272526791</v>
      </c>
      <c r="FP95" s="2">
        <v>2.32706376191041E-4</v>
      </c>
      <c r="FQ95">
        <v>6822.5738255900997</v>
      </c>
      <c r="FR95">
        <v>0.19905418831567301</v>
      </c>
      <c r="FS95" s="2">
        <v>26762547.8356755</v>
      </c>
      <c r="FT95">
        <v>279.27408836226601</v>
      </c>
      <c r="FU95">
        <v>2.5652070208713702E-2</v>
      </c>
      <c r="FV95">
        <v>5886.2376228529401</v>
      </c>
      <c r="FW95">
        <v>0.540666632024703</v>
      </c>
      <c r="FX95">
        <v>0.30422511596713703</v>
      </c>
      <c r="FY95">
        <v>357.32227400883602</v>
      </c>
      <c r="FZ95">
        <v>2295.62487382069</v>
      </c>
      <c r="GA95">
        <v>7.2329277623525501</v>
      </c>
    </row>
    <row r="96" spans="1:183" x14ac:dyDescent="0.2">
      <c r="A96" t="s">
        <v>2520</v>
      </c>
      <c r="B96" t="s">
        <v>182</v>
      </c>
      <c r="C96" t="s">
        <v>1877</v>
      </c>
      <c r="D96" s="1">
        <v>42037</v>
      </c>
      <c r="E96" t="s">
        <v>362</v>
      </c>
      <c r="F96" t="s">
        <v>185</v>
      </c>
      <c r="G96" t="s">
        <v>186</v>
      </c>
      <c r="H96">
        <v>1</v>
      </c>
      <c r="I96">
        <v>400</v>
      </c>
      <c r="J96">
        <v>10</v>
      </c>
      <c r="K96" t="s">
        <v>187</v>
      </c>
      <c r="L96" t="s">
        <v>1878</v>
      </c>
      <c r="M96">
        <v>5</v>
      </c>
      <c r="N96">
        <v>0.705078125</v>
      </c>
      <c r="O96">
        <v>0.705078125</v>
      </c>
      <c r="P96" t="s">
        <v>1879</v>
      </c>
      <c r="Q96">
        <v>0</v>
      </c>
      <c r="R96" t="s">
        <v>194</v>
      </c>
      <c r="T96">
        <v>171079.84840949299</v>
      </c>
      <c r="U96">
        <v>171586.20128631499</v>
      </c>
      <c r="V96">
        <v>69030</v>
      </c>
      <c r="W96">
        <v>29310.820274420399</v>
      </c>
      <c r="X96">
        <v>0.17132830398740201</v>
      </c>
      <c r="Y96">
        <v>29.3320962889382</v>
      </c>
      <c r="Z96">
        <v>1.9234546961463601E-2</v>
      </c>
      <c r="AA96">
        <v>0.13145168864463999</v>
      </c>
      <c r="AB96">
        <v>1.9667294009705201</v>
      </c>
      <c r="AC96">
        <v>0.50845835706047304</v>
      </c>
      <c r="AD96">
        <v>0.96672940097051896</v>
      </c>
      <c r="AE96" t="s">
        <v>1880</v>
      </c>
      <c r="AF96" t="s">
        <v>1881</v>
      </c>
      <c r="AG96" t="s">
        <v>1882</v>
      </c>
      <c r="AH96" t="s">
        <v>193</v>
      </c>
      <c r="AI96" t="s">
        <v>193</v>
      </c>
      <c r="AJ96" t="s">
        <v>193</v>
      </c>
      <c r="AK96" t="s">
        <v>193</v>
      </c>
      <c r="AL96" t="s">
        <v>193</v>
      </c>
      <c r="AM96" t="s">
        <v>193</v>
      </c>
      <c r="AN96" t="s">
        <v>193</v>
      </c>
      <c r="AO96" t="s">
        <v>193</v>
      </c>
      <c r="AP96" t="s">
        <v>193</v>
      </c>
      <c r="AQ96">
        <v>0.18720808261559199</v>
      </c>
      <c r="AR96" t="s">
        <v>193</v>
      </c>
      <c r="AS96" t="s">
        <v>193</v>
      </c>
      <c r="AT96">
        <v>107.906219959669</v>
      </c>
      <c r="AU96" t="s">
        <v>193</v>
      </c>
      <c r="AV96" s="2">
        <v>188470919.22182801</v>
      </c>
      <c r="AW96">
        <v>81.654700854701204</v>
      </c>
      <c r="AX96">
        <v>2499.5011654291102</v>
      </c>
      <c r="AY96">
        <v>-5.8040667214862101</v>
      </c>
      <c r="AZ96">
        <v>72.802188580562003</v>
      </c>
      <c r="BA96">
        <v>84</v>
      </c>
      <c r="BB96">
        <v>-1020</v>
      </c>
      <c r="BC96">
        <v>47</v>
      </c>
      <c r="BD96">
        <v>65</v>
      </c>
      <c r="BE96">
        <v>84</v>
      </c>
      <c r="BF96">
        <v>105</v>
      </c>
      <c r="BG96">
        <v>124</v>
      </c>
      <c r="BH96">
        <v>49.995011405430397</v>
      </c>
      <c r="BI96">
        <v>546</v>
      </c>
      <c r="BJ96">
        <v>40</v>
      </c>
      <c r="BK96">
        <v>1566</v>
      </c>
      <c r="BL96">
        <v>27.7835308567564</v>
      </c>
      <c r="BM96">
        <v>16.6383616302791</v>
      </c>
      <c r="BN96">
        <v>27.7233376792698</v>
      </c>
      <c r="BO96">
        <v>0.61227352353409403</v>
      </c>
      <c r="BP96">
        <v>0.23529411764705799</v>
      </c>
      <c r="BQ96" t="s">
        <v>194</v>
      </c>
      <c r="BR96" s="2">
        <v>632797412</v>
      </c>
      <c r="BS96">
        <v>95.744406296659506</v>
      </c>
      <c r="BT96">
        <v>14010.8199368286</v>
      </c>
      <c r="BU96">
        <v>116270.800329844</v>
      </c>
      <c r="BV96">
        <v>0.50459219360351504</v>
      </c>
      <c r="BW96">
        <v>139.31034851074199</v>
      </c>
      <c r="BX96">
        <v>1.04149816894531</v>
      </c>
      <c r="BY96">
        <v>129.52745056152301</v>
      </c>
      <c r="BZ96">
        <v>138.86567687988199</v>
      </c>
      <c r="CA96" t="s">
        <v>1883</v>
      </c>
      <c r="CB96" t="s">
        <v>1884</v>
      </c>
      <c r="CC96" t="s">
        <v>1885</v>
      </c>
      <c r="CD96" t="s">
        <v>1886</v>
      </c>
      <c r="CE96" t="s">
        <v>1887</v>
      </c>
      <c r="CF96" t="s">
        <v>1888</v>
      </c>
      <c r="CG96" t="s">
        <v>1889</v>
      </c>
      <c r="CH96">
        <v>108.71371867304001</v>
      </c>
      <c r="CI96">
        <v>25.065602034139399</v>
      </c>
      <c r="CJ96">
        <v>-5.7410220742484297</v>
      </c>
      <c r="CK96">
        <v>71.323172744725397</v>
      </c>
      <c r="CL96">
        <v>109</v>
      </c>
      <c r="CM96">
        <v>1</v>
      </c>
      <c r="CN96">
        <v>105</v>
      </c>
      <c r="CO96">
        <v>107</v>
      </c>
      <c r="CP96">
        <v>109</v>
      </c>
      <c r="CQ96">
        <v>111</v>
      </c>
      <c r="CR96">
        <v>113</v>
      </c>
      <c r="CS96">
        <v>5.0065559054243396</v>
      </c>
      <c r="CT96">
        <v>155</v>
      </c>
      <c r="CU96">
        <v>108</v>
      </c>
      <c r="CV96">
        <v>4</v>
      </c>
      <c r="CW96">
        <v>154</v>
      </c>
      <c r="CX96">
        <v>2.7979838212130401</v>
      </c>
      <c r="CY96">
        <v>1.8011096575449499</v>
      </c>
      <c r="CZ96">
        <v>2.7647979139504502</v>
      </c>
      <c r="DA96">
        <v>4.6052659834787901E-2</v>
      </c>
      <c r="DB96">
        <v>1.8348623853211E-2</v>
      </c>
      <c r="DC96">
        <v>1.1423401252787699</v>
      </c>
      <c r="DD96">
        <v>3.7947717560807201</v>
      </c>
      <c r="DE96">
        <v>1087.1371867304299</v>
      </c>
      <c r="DF96">
        <v>9.3612695062175399E-2</v>
      </c>
      <c r="DG96">
        <v>1.1645239842265299E-3</v>
      </c>
      <c r="DH96">
        <v>2412.5</v>
      </c>
      <c r="DI96">
        <v>106</v>
      </c>
      <c r="DJ96">
        <v>-1562.5</v>
      </c>
      <c r="DK96">
        <v>113</v>
      </c>
      <c r="DL96">
        <v>0.50459219360351504</v>
      </c>
      <c r="DM96">
        <v>139.31034851074199</v>
      </c>
      <c r="DN96">
        <v>1.04149816894531</v>
      </c>
      <c r="DO96">
        <v>129.52745056152301</v>
      </c>
      <c r="DP96">
        <v>138.86567687988199</v>
      </c>
      <c r="DQ96" t="s">
        <v>1890</v>
      </c>
      <c r="DR96" t="s">
        <v>1891</v>
      </c>
      <c r="DS96" t="s">
        <v>1892</v>
      </c>
      <c r="DT96" t="s">
        <v>1893</v>
      </c>
      <c r="DU96" t="s">
        <v>1887</v>
      </c>
      <c r="DV96" t="s">
        <v>1888</v>
      </c>
      <c r="DW96" t="s">
        <v>1894</v>
      </c>
      <c r="DX96">
        <v>3.5879801880412801E-2</v>
      </c>
      <c r="DY96">
        <v>108.946082386208</v>
      </c>
      <c r="DZ96">
        <v>16.449861943745098</v>
      </c>
      <c r="EA96">
        <v>6.9194469067984201</v>
      </c>
      <c r="EB96">
        <v>2.08296107235067</v>
      </c>
      <c r="EC96">
        <v>2.0509084832676598</v>
      </c>
      <c r="ED96">
        <v>9.24906563270922</v>
      </c>
      <c r="EE96">
        <v>6.9194469067981501</v>
      </c>
      <c r="EF96">
        <v>217.89216477241601</v>
      </c>
      <c r="EG96">
        <v>52.344156535532498</v>
      </c>
      <c r="EH96">
        <v>6.9194469067984397</v>
      </c>
      <c r="EI96">
        <v>1.41637587407483E-2</v>
      </c>
      <c r="EJ96">
        <v>13.4552912394484</v>
      </c>
      <c r="EK96">
        <v>2.0509084832676598</v>
      </c>
      <c r="EL96">
        <v>0.49244575813552399</v>
      </c>
      <c r="EM96">
        <v>0.98726797007020495</v>
      </c>
      <c r="EN96">
        <v>0.43146748726733503</v>
      </c>
      <c r="EO96">
        <v>0.99945676192144395</v>
      </c>
      <c r="EP96" s="2">
        <v>2.8712860054206699E-6</v>
      </c>
      <c r="EQ96">
        <v>0.59102115004179501</v>
      </c>
      <c r="ER96">
        <v>11878.9710836264</v>
      </c>
      <c r="ES96">
        <v>52.344156535532498</v>
      </c>
      <c r="ET96">
        <v>-1678.5093869382799</v>
      </c>
      <c r="EU96">
        <v>182975.77821356201</v>
      </c>
      <c r="EV96">
        <v>0.86448975242811499</v>
      </c>
      <c r="EW96">
        <v>1.86212865248086</v>
      </c>
      <c r="EX96" s="2">
        <v>1.5067274241864099E-4</v>
      </c>
      <c r="EY96">
        <v>11830.901927884701</v>
      </c>
      <c r="EZ96" s="2">
        <v>1.31979846847348E-4</v>
      </c>
      <c r="FA96">
        <v>10217.8103437228</v>
      </c>
      <c r="FB96" s="2">
        <v>2.5244155696305202E-4</v>
      </c>
      <c r="FC96">
        <v>22086.235555388499</v>
      </c>
      <c r="FD96">
        <v>5118.8307817674904</v>
      </c>
      <c r="FE96">
        <v>41011.375879600302</v>
      </c>
      <c r="FF96">
        <v>0.822029440934264</v>
      </c>
      <c r="FG96" s="2">
        <v>1.3591139560232399E-4</v>
      </c>
      <c r="FH96">
        <v>5.7818110403991697E-3</v>
      </c>
      <c r="FI96">
        <v>0.32357359614470599</v>
      </c>
      <c r="FJ96">
        <v>11978.822890985701</v>
      </c>
      <c r="FK96">
        <v>4.5737511998217899</v>
      </c>
      <c r="FL96">
        <v>0.64661791845442895</v>
      </c>
      <c r="FM96">
        <v>27717.424082453399</v>
      </c>
      <c r="FN96" s="2">
        <v>2.44576348774466E-4</v>
      </c>
      <c r="FO96">
        <v>11265.6480643539</v>
      </c>
      <c r="FP96" s="2">
        <v>9.6365359551460006E-5</v>
      </c>
      <c r="FQ96">
        <v>7082.0209384197997</v>
      </c>
      <c r="FR96">
        <v>2.3417473642373601</v>
      </c>
      <c r="FS96" s="2">
        <v>328628666.79336298</v>
      </c>
      <c r="FT96">
        <v>346.90723981900402</v>
      </c>
      <c r="FU96">
        <v>4.36032227022378E-2</v>
      </c>
      <c r="FV96">
        <v>3075.69155354449</v>
      </c>
      <c r="FW96">
        <v>0.38658767641333502</v>
      </c>
      <c r="FX96">
        <v>0.115254237288135</v>
      </c>
      <c r="FY96">
        <v>132.58667518005601</v>
      </c>
      <c r="FZ96">
        <v>27642.142940584901</v>
      </c>
      <c r="GA96">
        <v>7.1597822754904996</v>
      </c>
    </row>
    <row r="97" spans="1:183" x14ac:dyDescent="0.2">
      <c r="A97" t="s">
        <v>2521</v>
      </c>
      <c r="B97" t="s">
        <v>182</v>
      </c>
      <c r="C97" t="s">
        <v>1895</v>
      </c>
      <c r="D97" s="1">
        <v>42703</v>
      </c>
      <c r="E97" t="s">
        <v>362</v>
      </c>
      <c r="F97" t="s">
        <v>185</v>
      </c>
      <c r="G97" t="s">
        <v>186</v>
      </c>
      <c r="H97">
        <v>1</v>
      </c>
      <c r="I97">
        <v>400</v>
      </c>
      <c r="J97">
        <v>10</v>
      </c>
      <c r="K97" t="s">
        <v>187</v>
      </c>
      <c r="L97" t="s">
        <v>1896</v>
      </c>
      <c r="M97">
        <v>5</v>
      </c>
      <c r="N97">
        <v>0.658203125</v>
      </c>
      <c r="O97">
        <v>0.658203125</v>
      </c>
      <c r="P97" t="s">
        <v>1897</v>
      </c>
      <c r="Q97">
        <v>0</v>
      </c>
      <c r="R97" t="s">
        <v>194</v>
      </c>
      <c r="T97">
        <v>22799.883069992</v>
      </c>
      <c r="U97">
        <v>23011.0833549499</v>
      </c>
      <c r="V97">
        <v>10623</v>
      </c>
      <c r="W97">
        <v>7483.6542590721801</v>
      </c>
      <c r="X97">
        <v>0.32823213330079498</v>
      </c>
      <c r="Y97">
        <v>28.394743700036901</v>
      </c>
      <c r="Z97">
        <v>1.9869507874692299E-2</v>
      </c>
      <c r="AA97">
        <v>0.14027376944923201</v>
      </c>
      <c r="AB97">
        <v>1.92460308448184</v>
      </c>
      <c r="AC97">
        <v>0.51958765319615396</v>
      </c>
      <c r="AD97">
        <v>0.92460308448184003</v>
      </c>
      <c r="AE97" t="s">
        <v>1898</v>
      </c>
      <c r="AF97" t="s">
        <v>1899</v>
      </c>
      <c r="AG97" t="s">
        <v>1900</v>
      </c>
      <c r="AH97" t="s">
        <v>193</v>
      </c>
      <c r="AI97" t="s">
        <v>193</v>
      </c>
      <c r="AJ97" t="s">
        <v>193</v>
      </c>
      <c r="AK97" t="s">
        <v>193</v>
      </c>
      <c r="AL97" t="s">
        <v>193</v>
      </c>
      <c r="AM97" t="s">
        <v>193</v>
      </c>
      <c r="AN97" t="s">
        <v>193</v>
      </c>
      <c r="AO97" t="s">
        <v>193</v>
      </c>
      <c r="AP97" t="s">
        <v>193</v>
      </c>
      <c r="AQ97">
        <v>0.102086139379314</v>
      </c>
      <c r="AR97" t="s">
        <v>193</v>
      </c>
      <c r="AS97" t="s">
        <v>193</v>
      </c>
      <c r="AT97">
        <v>64.433644443016703</v>
      </c>
      <c r="AU97" t="s">
        <v>193</v>
      </c>
      <c r="AV97" s="2">
        <v>11647389.912940601</v>
      </c>
      <c r="AW97">
        <v>62.8530546926482</v>
      </c>
      <c r="AX97">
        <v>2516.3215304881001</v>
      </c>
      <c r="AY97">
        <v>-2.8891427079270602</v>
      </c>
      <c r="AZ97">
        <v>13.4204381498282</v>
      </c>
      <c r="BA97">
        <v>75</v>
      </c>
      <c r="BB97">
        <v>-448</v>
      </c>
      <c r="BC97">
        <v>9</v>
      </c>
      <c r="BD97">
        <v>53</v>
      </c>
      <c r="BE97">
        <v>75</v>
      </c>
      <c r="BF97">
        <v>90</v>
      </c>
      <c r="BG97">
        <v>103</v>
      </c>
      <c r="BH97">
        <v>50.162949778577598</v>
      </c>
      <c r="BI97">
        <v>193</v>
      </c>
      <c r="BJ97">
        <v>37</v>
      </c>
      <c r="BK97">
        <v>641</v>
      </c>
      <c r="BL97">
        <v>32.056926491002997</v>
      </c>
      <c r="BM97">
        <v>16.585559061229102</v>
      </c>
      <c r="BN97">
        <v>29.955097430104399</v>
      </c>
      <c r="BO97">
        <v>0.79809883583025099</v>
      </c>
      <c r="BP97">
        <v>0.25874125874125797</v>
      </c>
      <c r="BQ97" t="s">
        <v>194</v>
      </c>
      <c r="BR97" s="2">
        <v>68697114</v>
      </c>
      <c r="BS97">
        <v>80.416590419422207</v>
      </c>
      <c r="BT97">
        <v>1446.31688064575</v>
      </c>
      <c r="BU97">
        <v>6094.1210428873701</v>
      </c>
      <c r="BV97">
        <v>0.517711486816406</v>
      </c>
      <c r="BW97">
        <v>99.418411254882798</v>
      </c>
      <c r="BX97">
        <v>1.0202598266601499</v>
      </c>
      <c r="BY97">
        <v>91.853500366210895</v>
      </c>
      <c r="BZ97" t="s">
        <v>194</v>
      </c>
      <c r="CA97" t="s">
        <v>1901</v>
      </c>
      <c r="CB97" t="s">
        <v>1902</v>
      </c>
      <c r="CC97" t="s">
        <v>1903</v>
      </c>
      <c r="CD97" t="s">
        <v>1904</v>
      </c>
      <c r="CE97" t="s">
        <v>1905</v>
      </c>
      <c r="CF97" t="s">
        <v>1906</v>
      </c>
      <c r="CG97" t="s">
        <v>1907</v>
      </c>
      <c r="CH97">
        <v>106.834886566883</v>
      </c>
      <c r="CI97">
        <v>25.219466350213001</v>
      </c>
      <c r="CJ97">
        <v>-2.8734286734857899</v>
      </c>
      <c r="CK97">
        <v>13.3121969532178</v>
      </c>
      <c r="CL97">
        <v>108</v>
      </c>
      <c r="CM97">
        <v>56</v>
      </c>
      <c r="CN97">
        <v>101</v>
      </c>
      <c r="CO97">
        <v>106</v>
      </c>
      <c r="CP97">
        <v>108</v>
      </c>
      <c r="CQ97">
        <v>110</v>
      </c>
      <c r="CR97">
        <v>111</v>
      </c>
      <c r="CS97">
        <v>5.0218986798035896</v>
      </c>
      <c r="CT97">
        <v>120</v>
      </c>
      <c r="CU97">
        <v>108</v>
      </c>
      <c r="CV97">
        <v>4</v>
      </c>
      <c r="CW97">
        <v>64</v>
      </c>
      <c r="CX97">
        <v>3.2094380049486402</v>
      </c>
      <c r="CY97">
        <v>1.84056572512561</v>
      </c>
      <c r="CZ97">
        <v>2.9806081144686001</v>
      </c>
      <c r="DA97">
        <v>4.7006168501518897E-2</v>
      </c>
      <c r="DB97">
        <v>1.85185185185185E-2</v>
      </c>
      <c r="DC97">
        <v>1.1563965638215701</v>
      </c>
      <c r="DD97">
        <v>3.8414662341900998</v>
      </c>
      <c r="DE97">
        <v>1068.3488656688501</v>
      </c>
      <c r="DF97">
        <v>9.9781423934817703E-2</v>
      </c>
      <c r="DG97">
        <v>3.0647937822448801E-3</v>
      </c>
      <c r="DH97">
        <v>480.5</v>
      </c>
      <c r="DI97">
        <v>107</v>
      </c>
      <c r="DJ97">
        <v>-462</v>
      </c>
      <c r="DK97">
        <v>111</v>
      </c>
      <c r="DL97">
        <v>0.517711486816406</v>
      </c>
      <c r="DM97">
        <v>99.418411254882798</v>
      </c>
      <c r="DN97">
        <v>1.0202598266601499</v>
      </c>
      <c r="DO97">
        <v>91.853500366210895</v>
      </c>
      <c r="DP97" t="s">
        <v>194</v>
      </c>
      <c r="DQ97" t="s">
        <v>1908</v>
      </c>
      <c r="DR97" t="s">
        <v>1909</v>
      </c>
      <c r="DS97" t="s">
        <v>1910</v>
      </c>
      <c r="DT97" t="s">
        <v>1911</v>
      </c>
      <c r="DU97" t="s">
        <v>1905</v>
      </c>
      <c r="DV97" t="s">
        <v>1906</v>
      </c>
      <c r="DW97" t="s">
        <v>1912</v>
      </c>
      <c r="DX97">
        <v>4.2539224659991298E-2</v>
      </c>
      <c r="DY97">
        <v>107.46879593931099</v>
      </c>
      <c r="DZ97">
        <v>17.700038242727501</v>
      </c>
      <c r="EA97">
        <v>7.0618876081139899</v>
      </c>
      <c r="EB97">
        <v>2.1258399960500798</v>
      </c>
      <c r="EC97">
        <v>2.8294362928651302</v>
      </c>
      <c r="ED97">
        <v>15.614488306389401</v>
      </c>
      <c r="EE97">
        <v>7.0618876081139703</v>
      </c>
      <c r="EF97">
        <v>214.93759187862199</v>
      </c>
      <c r="EG97">
        <v>0.22989244399494099</v>
      </c>
      <c r="EH97" s="2">
        <v>4.9157612937930097E-4</v>
      </c>
      <c r="EI97">
        <v>1.6253360142153599E-2</v>
      </c>
      <c r="EJ97">
        <v>23.620198041771701</v>
      </c>
      <c r="EK97">
        <v>2.8294362928651302</v>
      </c>
      <c r="EL97">
        <v>0.44664049193112898</v>
      </c>
      <c r="EM97">
        <v>0.96101058605541501</v>
      </c>
      <c r="EN97">
        <v>0.38009689548445802</v>
      </c>
      <c r="EO97">
        <v>0.99483618916845096</v>
      </c>
      <c r="EP97">
        <v>0</v>
      </c>
      <c r="EQ97">
        <v>0.33276420881529301</v>
      </c>
      <c r="ER97">
        <v>11555.432039867201</v>
      </c>
      <c r="ES97">
        <v>0.22989244399494099</v>
      </c>
      <c r="ET97">
        <v>-858.05537794319901</v>
      </c>
      <c r="EU97">
        <v>35989.404787899199</v>
      </c>
      <c r="EV97">
        <v>0.89714605226977595</v>
      </c>
      <c r="EW97">
        <v>1.60444941706018</v>
      </c>
      <c r="EX97" s="2">
        <v>8.8887345176878797E-5</v>
      </c>
      <c r="EY97">
        <v>11385.2920732367</v>
      </c>
      <c r="EZ97" s="2">
        <v>8.0119236889652598E-5</v>
      </c>
      <c r="FA97">
        <v>10176.6557017092</v>
      </c>
      <c r="FB97" s="2">
        <v>1.4034210794758599E-4</v>
      </c>
      <c r="FC97">
        <v>18496.383605638199</v>
      </c>
      <c r="FD97">
        <v>840.07278424704805</v>
      </c>
      <c r="FE97">
        <v>7110.7155642854796</v>
      </c>
      <c r="FF97">
        <v>0.86129515782156196</v>
      </c>
      <c r="FG97" s="2">
        <v>6.7175966099614396E-4</v>
      </c>
      <c r="FH97">
        <v>3.4505682725151497E-2</v>
      </c>
      <c r="FI97">
        <v>0.146054705386851</v>
      </c>
      <c r="FJ97">
        <v>4269.0584638556602</v>
      </c>
      <c r="FK97">
        <v>2.8632191381181702</v>
      </c>
      <c r="FL97">
        <v>0.71884139070059505</v>
      </c>
      <c r="FM97">
        <v>2438.99918200409</v>
      </c>
      <c r="FN97" s="2">
        <v>9.7532638176237306E-5</v>
      </c>
      <c r="FO97">
        <v>10534.682617586899</v>
      </c>
      <c r="FP97" s="2">
        <v>7.2314772934629901E-5</v>
      </c>
      <c r="FQ97">
        <v>7371.7842845346904</v>
      </c>
      <c r="FR97">
        <v>0.20727982803598599</v>
      </c>
      <c r="FS97" s="2">
        <v>28706537.035991799</v>
      </c>
      <c r="FT97">
        <v>112.58773006134901</v>
      </c>
      <c r="FU97">
        <v>4.6048151354335203E-2</v>
      </c>
      <c r="FV97">
        <v>1168.9263803680899</v>
      </c>
      <c r="FW97">
        <v>0.47808849912805601</v>
      </c>
      <c r="FX97">
        <v>0.230160971476983</v>
      </c>
      <c r="FY97">
        <v>60.729844053847103</v>
      </c>
      <c r="FZ97">
        <v>2420.1220229088999</v>
      </c>
      <c r="GA97">
        <v>6.3737065712046697</v>
      </c>
    </row>
    <row r="98" spans="1:183" x14ac:dyDescent="0.2">
      <c r="A98" t="s">
        <v>2522</v>
      </c>
      <c r="B98" t="s">
        <v>182</v>
      </c>
      <c r="C98" t="s">
        <v>1913</v>
      </c>
      <c r="D98" s="1">
        <v>41842</v>
      </c>
      <c r="E98" t="s">
        <v>362</v>
      </c>
      <c r="F98" t="s">
        <v>185</v>
      </c>
      <c r="G98" t="s">
        <v>186</v>
      </c>
      <c r="H98">
        <v>1</v>
      </c>
      <c r="I98">
        <v>400</v>
      </c>
      <c r="J98">
        <v>10</v>
      </c>
      <c r="K98" t="s">
        <v>187</v>
      </c>
      <c r="L98" t="s">
        <v>1914</v>
      </c>
      <c r="M98">
        <v>5</v>
      </c>
      <c r="N98">
        <v>0.7421875</v>
      </c>
      <c r="O98">
        <v>0.7421875</v>
      </c>
      <c r="P98" t="s">
        <v>1915</v>
      </c>
      <c r="Q98">
        <v>0</v>
      </c>
      <c r="R98" t="s">
        <v>194</v>
      </c>
      <c r="T98">
        <v>47741.845130920403</v>
      </c>
      <c r="U98">
        <v>48074.760437011697</v>
      </c>
      <c r="V98">
        <v>17455</v>
      </c>
      <c r="W98">
        <v>12172.330705931499</v>
      </c>
      <c r="X98">
        <v>0.25496146352433202</v>
      </c>
      <c r="Y98">
        <v>28.129461283137701</v>
      </c>
      <c r="Z98">
        <v>2.0056892589192899E-2</v>
      </c>
      <c r="AA98">
        <v>0.142932023999646</v>
      </c>
      <c r="AB98">
        <v>1.9125970670849299</v>
      </c>
      <c r="AC98">
        <v>0.52284928028470801</v>
      </c>
      <c r="AD98">
        <v>0.91259706708493005</v>
      </c>
      <c r="AE98" t="s">
        <v>1916</v>
      </c>
      <c r="AF98" t="s">
        <v>1917</v>
      </c>
      <c r="AG98" t="s">
        <v>1918</v>
      </c>
      <c r="AH98" t="s">
        <v>193</v>
      </c>
      <c r="AI98" t="s">
        <v>193</v>
      </c>
      <c r="AJ98" t="s">
        <v>193</v>
      </c>
      <c r="AK98" t="s">
        <v>193</v>
      </c>
      <c r="AL98" t="s">
        <v>193</v>
      </c>
      <c r="AM98" t="s">
        <v>193</v>
      </c>
      <c r="AN98" t="s">
        <v>193</v>
      </c>
      <c r="AO98" t="s">
        <v>193</v>
      </c>
      <c r="AP98" t="s">
        <v>193</v>
      </c>
      <c r="AQ98">
        <v>0.43340490416183503</v>
      </c>
      <c r="AR98" t="s">
        <v>193</v>
      </c>
      <c r="AS98" t="s">
        <v>193</v>
      </c>
      <c r="AT98">
        <v>82.328261596311506</v>
      </c>
      <c r="AU98" t="s">
        <v>193</v>
      </c>
      <c r="AV98" s="2">
        <v>23167004.547428701</v>
      </c>
      <c r="AW98">
        <v>74.255743340016906</v>
      </c>
      <c r="AX98">
        <v>1977.3455377673999</v>
      </c>
      <c r="AY98">
        <v>-2.05590561899723</v>
      </c>
      <c r="AZ98">
        <v>8.9677466847445508</v>
      </c>
      <c r="BA98">
        <v>82</v>
      </c>
      <c r="BB98">
        <v>-411</v>
      </c>
      <c r="BC98">
        <v>25</v>
      </c>
      <c r="BD98">
        <v>57</v>
      </c>
      <c r="BE98">
        <v>82</v>
      </c>
      <c r="BF98">
        <v>101</v>
      </c>
      <c r="BG98">
        <v>118</v>
      </c>
      <c r="BH98">
        <v>44.467353617765497</v>
      </c>
      <c r="BI98">
        <v>202</v>
      </c>
      <c r="BJ98">
        <v>44</v>
      </c>
      <c r="BK98">
        <v>613</v>
      </c>
      <c r="BL98">
        <v>31.067855142671998</v>
      </c>
      <c r="BM98">
        <v>19.1583221960739</v>
      </c>
      <c r="BN98">
        <v>30.319220853623602</v>
      </c>
      <c r="BO98">
        <v>0.59884059626404396</v>
      </c>
      <c r="BP98">
        <v>0.278481012658227</v>
      </c>
      <c r="BQ98" t="s">
        <v>194</v>
      </c>
      <c r="BR98" s="2">
        <v>130759960</v>
      </c>
      <c r="BS98">
        <v>86.552070782540596</v>
      </c>
      <c r="BT98">
        <v>3569.8270721435401</v>
      </c>
      <c r="BU98">
        <v>24969.680786132802</v>
      </c>
      <c r="BV98">
        <v>0.55910491943359297</v>
      </c>
      <c r="BW98">
        <v>116.152709960937</v>
      </c>
      <c r="BX98">
        <v>0.96672821044921797</v>
      </c>
      <c r="BY98">
        <v>113.95726776123</v>
      </c>
      <c r="BZ98">
        <v>87.433052062988196</v>
      </c>
      <c r="CA98" t="s">
        <v>1919</v>
      </c>
      <c r="CB98" t="s">
        <v>1920</v>
      </c>
      <c r="CC98" t="s">
        <v>1921</v>
      </c>
      <c r="CD98" t="s">
        <v>1922</v>
      </c>
      <c r="CE98" t="s">
        <v>1923</v>
      </c>
      <c r="CF98" t="s">
        <v>1924</v>
      </c>
      <c r="CG98" t="s">
        <v>1925</v>
      </c>
      <c r="CH98">
        <v>107.973474649097</v>
      </c>
      <c r="CI98">
        <v>19.840545331568698</v>
      </c>
      <c r="CJ98">
        <v>-2.0448997993069602</v>
      </c>
      <c r="CK98">
        <v>8.9351851357250993</v>
      </c>
      <c r="CL98">
        <v>109</v>
      </c>
      <c r="CM98">
        <v>59</v>
      </c>
      <c r="CN98">
        <v>103</v>
      </c>
      <c r="CO98">
        <v>106</v>
      </c>
      <c r="CP98">
        <v>109</v>
      </c>
      <c r="CQ98">
        <v>111</v>
      </c>
      <c r="CR98">
        <v>112</v>
      </c>
      <c r="CS98">
        <v>4.4542727051190596</v>
      </c>
      <c r="CT98">
        <v>121</v>
      </c>
      <c r="CU98">
        <v>109</v>
      </c>
      <c r="CV98">
        <v>5</v>
      </c>
      <c r="CW98">
        <v>62</v>
      </c>
      <c r="CX98">
        <v>3.0988482377355502</v>
      </c>
      <c r="CY98">
        <v>2.0158175052268898</v>
      </c>
      <c r="CZ98">
        <v>3.0284732168433099</v>
      </c>
      <c r="DA98">
        <v>4.12533978330787E-2</v>
      </c>
      <c r="DB98">
        <v>2.3041474654377801E-2</v>
      </c>
      <c r="DC98">
        <v>1.1891146087584901</v>
      </c>
      <c r="DD98">
        <v>3.9501532268758299</v>
      </c>
      <c r="DE98">
        <v>1079.7347464909601</v>
      </c>
      <c r="DF98">
        <v>8.3776730457440898E-2</v>
      </c>
      <c r="DG98">
        <v>2.19079518135232E-3</v>
      </c>
      <c r="DH98">
        <v>439.5</v>
      </c>
      <c r="DI98">
        <v>107</v>
      </c>
      <c r="DJ98">
        <v>-494.5</v>
      </c>
      <c r="DK98">
        <v>112</v>
      </c>
      <c r="DL98">
        <v>0.55910491943359297</v>
      </c>
      <c r="DM98">
        <v>116.152709960937</v>
      </c>
      <c r="DN98">
        <v>0.96672821044921797</v>
      </c>
      <c r="DO98">
        <v>113.95726776123</v>
      </c>
      <c r="DP98">
        <v>87.433052062988196</v>
      </c>
      <c r="DQ98" t="s">
        <v>1926</v>
      </c>
      <c r="DR98" t="s">
        <v>1927</v>
      </c>
      <c r="DS98" t="s">
        <v>1928</v>
      </c>
      <c r="DT98" t="s">
        <v>1929</v>
      </c>
      <c r="DU98" t="s">
        <v>1923</v>
      </c>
      <c r="DV98" t="s">
        <v>1924</v>
      </c>
      <c r="DW98" t="s">
        <v>1930</v>
      </c>
      <c r="DX98">
        <v>3.0035257579274201E-2</v>
      </c>
      <c r="DY98">
        <v>108.384727610331</v>
      </c>
      <c r="DZ98">
        <v>15.5459952983847</v>
      </c>
      <c r="EA98">
        <v>7.2529341512879801</v>
      </c>
      <c r="EB98">
        <v>2.18335073611334</v>
      </c>
      <c r="EC98">
        <v>2.43086088177105</v>
      </c>
      <c r="ED98">
        <v>8.8463007200273793</v>
      </c>
      <c r="EE98">
        <v>7.2529341512879704</v>
      </c>
      <c r="EF98">
        <v>216.76945522066299</v>
      </c>
      <c r="EG98">
        <v>0</v>
      </c>
      <c r="EH98">
        <v>0</v>
      </c>
      <c r="EI98">
        <v>1.1751119052198901E-2</v>
      </c>
      <c r="EJ98">
        <v>14.755385346552099</v>
      </c>
      <c r="EK98">
        <v>2.43086088177105</v>
      </c>
      <c r="EL98">
        <v>0.45126083774181502</v>
      </c>
      <c r="EM98">
        <v>0.96456426393197503</v>
      </c>
      <c r="EN98">
        <v>0.38223763149412698</v>
      </c>
      <c r="EO98">
        <v>0.99648746975300295</v>
      </c>
      <c r="EP98">
        <v>0</v>
      </c>
      <c r="EQ98">
        <v>0.52542809053578998</v>
      </c>
      <c r="ER98">
        <v>11755.417481790901</v>
      </c>
      <c r="ES98">
        <v>0</v>
      </c>
      <c r="ET98">
        <v>-543.00113932997795</v>
      </c>
      <c r="EU98">
        <v>21128.315434246699</v>
      </c>
      <c r="EV98">
        <v>0.89500055614886997</v>
      </c>
      <c r="EW98">
        <v>1.5983208652793099</v>
      </c>
      <c r="EX98" s="2">
        <v>8.6546011128251404E-5</v>
      </c>
      <c r="EY98">
        <v>11651.5112728448</v>
      </c>
      <c r="EZ98" s="2">
        <v>7.7649771067385602E-5</v>
      </c>
      <c r="FA98">
        <v>10408.561381871399</v>
      </c>
      <c r="FB98" s="2">
        <v>1.3725468447062201E-4</v>
      </c>
      <c r="FC98">
        <v>18731.484741465101</v>
      </c>
      <c r="FD98">
        <v>1204.94864935075</v>
      </c>
      <c r="FE98">
        <v>11644.1591453111</v>
      </c>
      <c r="FF98">
        <v>0.86112420950576196</v>
      </c>
      <c r="FG98" s="2">
        <v>4.9722142630012395E-4</v>
      </c>
      <c r="FH98">
        <v>2.5709923902020999E-2</v>
      </c>
      <c r="FI98">
        <v>0.21772954253023499</v>
      </c>
      <c r="FJ98">
        <v>3034.6687686349101</v>
      </c>
      <c r="FK98">
        <v>1.5565709320824199</v>
      </c>
      <c r="FL98">
        <v>0.63874475636260497</v>
      </c>
      <c r="FM98">
        <v>2916.49212081418</v>
      </c>
      <c r="FN98" s="2">
        <v>9.2352651228367794E-5</v>
      </c>
      <c r="FO98">
        <v>11066.829284307199</v>
      </c>
      <c r="FP98" s="2">
        <v>6.0569710045409E-5</v>
      </c>
      <c r="FQ98">
        <v>6920.93953728614</v>
      </c>
      <c r="FR98">
        <v>0.243220757379702</v>
      </c>
      <c r="FS98" s="2">
        <v>34991400.857846297</v>
      </c>
      <c r="FT98">
        <v>139.23046618516</v>
      </c>
      <c r="FU98">
        <v>4.57092797718847E-2</v>
      </c>
      <c r="FV98">
        <v>1150.2094550229799</v>
      </c>
      <c r="FW98">
        <v>0.37761308438049201</v>
      </c>
      <c r="FX98">
        <v>0.17450587224291</v>
      </c>
      <c r="FY98">
        <v>53.5464583542607</v>
      </c>
      <c r="FZ98">
        <v>2883.6538781149002</v>
      </c>
      <c r="GA98">
        <v>6.8303964241412096</v>
      </c>
    </row>
    <row r="99" spans="1:183" x14ac:dyDescent="0.2">
      <c r="A99" t="s">
        <v>2523</v>
      </c>
      <c r="B99" t="s">
        <v>182</v>
      </c>
      <c r="C99" t="s">
        <v>1931</v>
      </c>
      <c r="D99" s="1">
        <v>43124</v>
      </c>
      <c r="E99" t="s">
        <v>362</v>
      </c>
      <c r="F99" t="s">
        <v>185</v>
      </c>
      <c r="G99" t="s">
        <v>186</v>
      </c>
      <c r="H99">
        <v>1</v>
      </c>
      <c r="I99">
        <v>400</v>
      </c>
      <c r="J99">
        <v>10</v>
      </c>
      <c r="K99" t="s">
        <v>187</v>
      </c>
      <c r="L99" t="s">
        <v>1932</v>
      </c>
      <c r="M99">
        <v>5</v>
      </c>
      <c r="N99">
        <v>0.634765625</v>
      </c>
      <c r="O99">
        <v>0.634765625</v>
      </c>
      <c r="P99" t="s">
        <v>1933</v>
      </c>
      <c r="Q99">
        <v>0</v>
      </c>
      <c r="R99" t="s">
        <v>194</v>
      </c>
      <c r="T99">
        <v>27828.180789947499</v>
      </c>
      <c r="U99">
        <v>28124.332427978501</v>
      </c>
      <c r="V99">
        <v>13960</v>
      </c>
      <c r="W99">
        <v>10935.651911179901</v>
      </c>
      <c r="X99">
        <v>0.39297042065826698</v>
      </c>
      <c r="Y99">
        <v>41.094358063623197</v>
      </c>
      <c r="Z99">
        <v>1.37291251191773E-2</v>
      </c>
      <c r="AA99">
        <v>6.6971183235699006E-2</v>
      </c>
      <c r="AB99">
        <v>2.46246845629814</v>
      </c>
      <c r="AC99">
        <v>0.406096572503231</v>
      </c>
      <c r="AD99">
        <v>1.46246845629814</v>
      </c>
      <c r="AE99" t="s">
        <v>1934</v>
      </c>
      <c r="AF99" t="s">
        <v>1935</v>
      </c>
      <c r="AG99" t="s">
        <v>1936</v>
      </c>
      <c r="AH99" t="s">
        <v>193</v>
      </c>
      <c r="AI99" t="s">
        <v>193</v>
      </c>
      <c r="AJ99" t="s">
        <v>193</v>
      </c>
      <c r="AK99" t="s">
        <v>193</v>
      </c>
      <c r="AL99" t="s">
        <v>193</v>
      </c>
      <c r="AM99" t="s">
        <v>193</v>
      </c>
      <c r="AN99" t="s">
        <v>193</v>
      </c>
      <c r="AO99" t="s">
        <v>193</v>
      </c>
      <c r="AP99" t="s">
        <v>193</v>
      </c>
      <c r="AQ99">
        <v>0.17278677220799099</v>
      </c>
      <c r="AR99" t="s">
        <v>193</v>
      </c>
      <c r="AS99" t="s">
        <v>193</v>
      </c>
      <c r="AT99">
        <v>87.287518684202695</v>
      </c>
      <c r="AU99" t="s">
        <v>193</v>
      </c>
      <c r="AV99" s="2">
        <v>18806434.084548399</v>
      </c>
      <c r="AW99">
        <v>26.8053724928367</v>
      </c>
      <c r="AX99">
        <v>1933.20001411624</v>
      </c>
      <c r="AY99">
        <v>-3.76346666349923</v>
      </c>
      <c r="AZ99">
        <v>40.521768647795099</v>
      </c>
      <c r="BA99">
        <v>32</v>
      </c>
      <c r="BB99">
        <v>-649</v>
      </c>
      <c r="BC99">
        <v>-8</v>
      </c>
      <c r="BD99">
        <v>15</v>
      </c>
      <c r="BE99">
        <v>32</v>
      </c>
      <c r="BF99">
        <v>47</v>
      </c>
      <c r="BG99">
        <v>62</v>
      </c>
      <c r="BH99">
        <v>43.968170465874998</v>
      </c>
      <c r="BI99">
        <v>516</v>
      </c>
      <c r="BJ99">
        <v>32</v>
      </c>
      <c r="BK99">
        <v>1165</v>
      </c>
      <c r="BL99">
        <v>25.274464772456501</v>
      </c>
      <c r="BM99">
        <v>13.6408178670836</v>
      </c>
      <c r="BN99">
        <v>24.8275787965616</v>
      </c>
      <c r="BO99">
        <v>1.64027455606612</v>
      </c>
      <c r="BP99">
        <v>0.51612903225806395</v>
      </c>
      <c r="BQ99" t="s">
        <v>194</v>
      </c>
      <c r="BR99" s="2">
        <v>37018123</v>
      </c>
      <c r="BS99">
        <v>51.494931872913298</v>
      </c>
      <c r="BT99">
        <v>753.88320684433302</v>
      </c>
      <c r="BU99">
        <v>15763.862927754701</v>
      </c>
      <c r="BV99">
        <v>0.51373242187500001</v>
      </c>
      <c r="BW99">
        <v>49.372547149658203</v>
      </c>
      <c r="BX99">
        <v>0.98112823486328105</v>
      </c>
      <c r="BY99">
        <v>46.195472717285099</v>
      </c>
      <c r="BZ99">
        <v>63.489509582519503</v>
      </c>
      <c r="CA99" t="s">
        <v>1937</v>
      </c>
      <c r="CB99" t="s">
        <v>1938</v>
      </c>
      <c r="CC99" t="s">
        <v>1939</v>
      </c>
      <c r="CD99" t="s">
        <v>1940</v>
      </c>
      <c r="CE99" t="s">
        <v>1941</v>
      </c>
      <c r="CF99" t="s">
        <v>1942</v>
      </c>
      <c r="CG99" t="s">
        <v>1943</v>
      </c>
      <c r="CH99">
        <v>103.225931232091</v>
      </c>
      <c r="CI99">
        <v>19.433768831947301</v>
      </c>
      <c r="CJ99">
        <v>-3.7376625719752998</v>
      </c>
      <c r="CK99">
        <v>40.218674491999501</v>
      </c>
      <c r="CL99">
        <v>104</v>
      </c>
      <c r="CM99">
        <v>36</v>
      </c>
      <c r="CN99">
        <v>100</v>
      </c>
      <c r="CO99">
        <v>102</v>
      </c>
      <c r="CP99">
        <v>104</v>
      </c>
      <c r="CQ99">
        <v>105</v>
      </c>
      <c r="CR99">
        <v>107</v>
      </c>
      <c r="CS99">
        <v>4.4083748515691497</v>
      </c>
      <c r="CT99">
        <v>152</v>
      </c>
      <c r="CU99">
        <v>104</v>
      </c>
      <c r="CV99">
        <v>3</v>
      </c>
      <c r="CW99">
        <v>116</v>
      </c>
      <c r="CX99">
        <v>2.5465882258767798</v>
      </c>
      <c r="CY99">
        <v>1.4691569452980699</v>
      </c>
      <c r="CZ99">
        <v>2.4823782234956999</v>
      </c>
      <c r="DA99">
        <v>4.2706079751001998E-2</v>
      </c>
      <c r="DB99">
        <v>1.4492753623188401E-2</v>
      </c>
      <c r="DC99">
        <v>1.10258553788388</v>
      </c>
      <c r="DD99">
        <v>3.6627098753129501</v>
      </c>
      <c r="DE99">
        <v>1032.2593123209199</v>
      </c>
      <c r="DF99">
        <v>0.110720858203134</v>
      </c>
      <c r="DG99">
        <v>2.8162552383546101E-3</v>
      </c>
      <c r="DH99">
        <v>590</v>
      </c>
      <c r="DI99">
        <v>102</v>
      </c>
      <c r="DJ99">
        <v>-708</v>
      </c>
      <c r="DK99">
        <v>106</v>
      </c>
      <c r="DL99">
        <v>0.51373242187500001</v>
      </c>
      <c r="DM99">
        <v>49.372547149658203</v>
      </c>
      <c r="DN99">
        <v>0.98112823486328105</v>
      </c>
      <c r="DO99">
        <v>46.195472717285099</v>
      </c>
      <c r="DP99">
        <v>63.489509582519503</v>
      </c>
      <c r="DQ99" t="s">
        <v>1944</v>
      </c>
      <c r="DR99" t="s">
        <v>1945</v>
      </c>
      <c r="DS99" t="s">
        <v>1946</v>
      </c>
      <c r="DT99" t="s">
        <v>1947</v>
      </c>
      <c r="DU99" t="s">
        <v>1941</v>
      </c>
      <c r="DV99" t="s">
        <v>1942</v>
      </c>
      <c r="DW99" t="s">
        <v>1948</v>
      </c>
      <c r="DX99">
        <v>5.5553297511726003E-2</v>
      </c>
      <c r="DY99">
        <v>103.43011534991101</v>
      </c>
      <c r="DZ99">
        <v>13.971243418902899</v>
      </c>
      <c r="EA99">
        <v>6.7449538683589099</v>
      </c>
      <c r="EB99">
        <v>2.0304334337458299</v>
      </c>
      <c r="EC99">
        <v>2.20006178007917</v>
      </c>
      <c r="ED99">
        <v>10.634605619796201</v>
      </c>
      <c r="EE99">
        <v>6.7449538683589303</v>
      </c>
      <c r="EF99">
        <v>206.86023069982201</v>
      </c>
      <c r="EG99">
        <v>39.646685698068502</v>
      </c>
      <c r="EH99">
        <v>6.7372126292306396</v>
      </c>
      <c r="EI99">
        <v>2.0050401938299298E-2</v>
      </c>
      <c r="EJ99">
        <v>15.4748774559613</v>
      </c>
      <c r="EK99">
        <v>2.20006178007917</v>
      </c>
      <c r="EL99">
        <v>0.505269830431055</v>
      </c>
      <c r="EM99">
        <v>0.98219807088185995</v>
      </c>
      <c r="EN99">
        <v>0.44951602348109898</v>
      </c>
      <c r="EO99">
        <v>0.99890248056181397</v>
      </c>
      <c r="EP99" s="2">
        <v>9.8555743484573196E-8</v>
      </c>
      <c r="EQ99">
        <v>0.44618825282852098</v>
      </c>
      <c r="ER99">
        <v>10704.022565986699</v>
      </c>
      <c r="ES99">
        <v>39.646685698068502</v>
      </c>
      <c r="ET99">
        <v>-782.16697305372395</v>
      </c>
      <c r="EU99">
        <v>57934.545547912399</v>
      </c>
      <c r="EV99">
        <v>0.88009286296931899</v>
      </c>
      <c r="EW99">
        <v>1.90889414493955</v>
      </c>
      <c r="EX99" s="2">
        <v>9.5050180792090194E-5</v>
      </c>
      <c r="EY99">
        <v>10646.778204887099</v>
      </c>
      <c r="EZ99" s="2">
        <v>8.3923361622102803E-5</v>
      </c>
      <c r="FA99">
        <v>9351.9398046660299</v>
      </c>
      <c r="FB99" s="2">
        <v>1.7929670260809501E-4</v>
      </c>
      <c r="FC99">
        <v>20468.884508662199</v>
      </c>
      <c r="FD99">
        <v>1218.13829788249</v>
      </c>
      <c r="FE99">
        <v>9002.4692772815906</v>
      </c>
      <c r="FF99">
        <v>0.84057747410182904</v>
      </c>
      <c r="FG99" s="2">
        <v>5.6704637180423202E-4</v>
      </c>
      <c r="FH99">
        <v>9.9607408366975195E-3</v>
      </c>
      <c r="FI99">
        <v>0.117622233536275</v>
      </c>
      <c r="FJ99">
        <v>6171.8462725012896</v>
      </c>
      <c r="FK99">
        <v>6.1169104639321104</v>
      </c>
      <c r="FL99">
        <v>0.61857846035195796</v>
      </c>
      <c r="FM99">
        <v>2946.48192771084</v>
      </c>
      <c r="FN99" s="2">
        <v>1.02107305972923E-4</v>
      </c>
      <c r="FO99">
        <v>10205.4017449106</v>
      </c>
      <c r="FP99" s="2">
        <v>6.5442165170417804E-5</v>
      </c>
      <c r="FQ99">
        <v>6197.4547168904101</v>
      </c>
      <c r="FR99">
        <v>0.27336142051603202</v>
      </c>
      <c r="FS99" s="2">
        <v>31771639.423348501</v>
      </c>
      <c r="FT99">
        <v>119.914831740756</v>
      </c>
      <c r="FU99">
        <v>4.9819207204302503E-2</v>
      </c>
      <c r="FV99">
        <v>854.26713751557895</v>
      </c>
      <c r="FW99">
        <v>0.35490948795827898</v>
      </c>
      <c r="FX99">
        <v>0.17242120343839501</v>
      </c>
      <c r="FY99">
        <v>72.516160022811107</v>
      </c>
      <c r="FZ99">
        <v>2912.8448192149699</v>
      </c>
      <c r="GA99">
        <v>6.9272008739258002</v>
      </c>
    </row>
    <row r="100" spans="1:183" x14ac:dyDescent="0.2">
      <c r="A100" t="s">
        <v>2524</v>
      </c>
      <c r="B100" t="s">
        <v>182</v>
      </c>
      <c r="C100" t="s">
        <v>1949</v>
      </c>
      <c r="D100" s="1">
        <v>42983</v>
      </c>
      <c r="E100" t="s">
        <v>362</v>
      </c>
      <c r="F100" t="s">
        <v>185</v>
      </c>
      <c r="G100" t="s">
        <v>186</v>
      </c>
      <c r="H100">
        <v>1</v>
      </c>
      <c r="I100">
        <v>400</v>
      </c>
      <c r="J100">
        <v>10</v>
      </c>
      <c r="K100" t="s">
        <v>187</v>
      </c>
      <c r="L100" t="s">
        <v>1950</v>
      </c>
      <c r="M100">
        <v>5</v>
      </c>
      <c r="N100">
        <v>0.78515625</v>
      </c>
      <c r="O100">
        <v>0.78515625</v>
      </c>
      <c r="P100" t="s">
        <v>1951</v>
      </c>
      <c r="Q100">
        <v>0</v>
      </c>
      <c r="R100" t="s">
        <v>194</v>
      </c>
      <c r="T100">
        <v>74630.5411434173</v>
      </c>
      <c r="U100">
        <v>74993.616485595703</v>
      </c>
      <c r="V100">
        <v>24330</v>
      </c>
      <c r="W100">
        <v>17379.680279143398</v>
      </c>
      <c r="X100">
        <v>0.232876246277579</v>
      </c>
      <c r="Y100">
        <v>30.700544880894402</v>
      </c>
      <c r="Z100">
        <v>1.83771846961212E-2</v>
      </c>
      <c r="AA100">
        <v>0.11999418668173099</v>
      </c>
      <c r="AB100">
        <v>2.02743340492996</v>
      </c>
      <c r="AC100">
        <v>0.49323444980652398</v>
      </c>
      <c r="AD100">
        <v>1.02743340492996</v>
      </c>
      <c r="AE100" t="s">
        <v>1952</v>
      </c>
      <c r="AF100" t="s">
        <v>1953</v>
      </c>
      <c r="AG100" t="s">
        <v>1954</v>
      </c>
      <c r="AH100" t="s">
        <v>193</v>
      </c>
      <c r="AI100" t="s">
        <v>193</v>
      </c>
      <c r="AJ100" t="s">
        <v>193</v>
      </c>
      <c r="AK100" t="s">
        <v>193</v>
      </c>
      <c r="AL100" t="s">
        <v>193</v>
      </c>
      <c r="AM100" t="s">
        <v>193</v>
      </c>
      <c r="AN100" t="s">
        <v>193</v>
      </c>
      <c r="AO100" t="s">
        <v>193</v>
      </c>
      <c r="AP100" t="s">
        <v>193</v>
      </c>
      <c r="AQ100">
        <v>8.84028816672775E-2</v>
      </c>
      <c r="AR100" t="s">
        <v>193</v>
      </c>
      <c r="AS100" t="s">
        <v>193</v>
      </c>
      <c r="AT100">
        <v>97.455972913383505</v>
      </c>
      <c r="AU100" t="s">
        <v>193</v>
      </c>
      <c r="AV100" s="2">
        <v>34526220.195916198</v>
      </c>
      <c r="AW100">
        <v>45.628565556925601</v>
      </c>
      <c r="AX100">
        <v>835.03618359794302</v>
      </c>
      <c r="AY100">
        <v>-2.9413842556170899</v>
      </c>
      <c r="AZ100">
        <v>20.639673058499501</v>
      </c>
      <c r="BA100">
        <v>48</v>
      </c>
      <c r="BB100">
        <v>-417</v>
      </c>
      <c r="BC100">
        <v>22</v>
      </c>
      <c r="BD100">
        <v>37</v>
      </c>
      <c r="BE100">
        <v>48</v>
      </c>
      <c r="BF100">
        <v>60</v>
      </c>
      <c r="BG100">
        <v>72</v>
      </c>
      <c r="BH100">
        <v>28.8969926393378</v>
      </c>
      <c r="BI100">
        <v>150</v>
      </c>
      <c r="BJ100">
        <v>23</v>
      </c>
      <c r="BK100">
        <v>567</v>
      </c>
      <c r="BL100">
        <v>17.895806094072299</v>
      </c>
      <c r="BM100">
        <v>9.9010970681875392</v>
      </c>
      <c r="BN100">
        <v>17.721454993834701</v>
      </c>
      <c r="BO100">
        <v>0.63330925017325501</v>
      </c>
      <c r="BP100">
        <v>0.23711340206185499</v>
      </c>
      <c r="BQ100" t="s">
        <v>194</v>
      </c>
      <c r="BR100" s="2">
        <v>70970663</v>
      </c>
      <c r="BS100">
        <v>54.0092786322924</v>
      </c>
      <c r="BT100">
        <v>3421.85114616394</v>
      </c>
      <c r="BU100">
        <v>8666.5454864501899</v>
      </c>
      <c r="BV100">
        <v>0.45310571289062501</v>
      </c>
      <c r="BW100">
        <v>81.047622680664006</v>
      </c>
      <c r="BX100">
        <v>1.0202584228515601</v>
      </c>
      <c r="BY100">
        <v>70.900299072265597</v>
      </c>
      <c r="BZ100">
        <v>70.481330871582003</v>
      </c>
      <c r="CA100" t="s">
        <v>1955</v>
      </c>
      <c r="CB100" t="s">
        <v>1956</v>
      </c>
      <c r="CC100" t="s">
        <v>1957</v>
      </c>
      <c r="CD100" t="s">
        <v>1958</v>
      </c>
      <c r="CE100" t="s">
        <v>1959</v>
      </c>
      <c r="CF100" t="s">
        <v>1960</v>
      </c>
      <c r="CG100" t="s">
        <v>1961</v>
      </c>
      <c r="CH100">
        <v>105.11866009042301</v>
      </c>
      <c r="CI100">
        <v>8.4362691458671897</v>
      </c>
      <c r="CJ100">
        <v>-2.8998701825975899</v>
      </c>
      <c r="CK100">
        <v>20.3235379656516</v>
      </c>
      <c r="CL100">
        <v>105</v>
      </c>
      <c r="CM100">
        <v>59</v>
      </c>
      <c r="CN100">
        <v>103</v>
      </c>
      <c r="CO100">
        <v>104</v>
      </c>
      <c r="CP100">
        <v>105</v>
      </c>
      <c r="CQ100">
        <v>107</v>
      </c>
      <c r="CR100">
        <v>108</v>
      </c>
      <c r="CS100">
        <v>2.9045256318144599</v>
      </c>
      <c r="CT100">
        <v>116</v>
      </c>
      <c r="CU100">
        <v>105</v>
      </c>
      <c r="CV100">
        <v>3</v>
      </c>
      <c r="CW100">
        <v>57</v>
      </c>
      <c r="CX100">
        <v>1.79494127618129</v>
      </c>
      <c r="CY100">
        <v>1.12902138314393</v>
      </c>
      <c r="CZ100">
        <v>1.7879572544184099</v>
      </c>
      <c r="DA100">
        <v>2.7630923275810199E-2</v>
      </c>
      <c r="DB100">
        <v>1.42180094786729E-2</v>
      </c>
      <c r="DC100">
        <v>0.96622506384978202</v>
      </c>
      <c r="DD100">
        <v>3.20973018558692</v>
      </c>
      <c r="DE100">
        <v>1051.1866009042101</v>
      </c>
      <c r="DF100">
        <v>0.14860863834699201</v>
      </c>
      <c r="DG100">
        <v>2.4714451306026598E-3</v>
      </c>
      <c r="DH100">
        <v>2035</v>
      </c>
      <c r="DI100">
        <v>104</v>
      </c>
      <c r="DJ100">
        <v>-1797</v>
      </c>
      <c r="DK100">
        <v>107</v>
      </c>
      <c r="DL100">
        <v>0.45310571289062501</v>
      </c>
      <c r="DM100">
        <v>81.047622680664006</v>
      </c>
      <c r="DN100">
        <v>1.0202584228515601</v>
      </c>
      <c r="DO100">
        <v>70.900299072265597</v>
      </c>
      <c r="DP100">
        <v>70.481330871582003</v>
      </c>
      <c r="DQ100" t="s">
        <v>1962</v>
      </c>
      <c r="DR100" t="s">
        <v>1963</v>
      </c>
      <c r="DS100" t="s">
        <v>1964</v>
      </c>
      <c r="DT100" t="s">
        <v>1965</v>
      </c>
      <c r="DU100" t="s">
        <v>1959</v>
      </c>
      <c r="DV100" t="s">
        <v>1960</v>
      </c>
      <c r="DW100" t="s">
        <v>1966</v>
      </c>
      <c r="DX100">
        <v>7.5589754206779103E-2</v>
      </c>
      <c r="DY100">
        <v>105.26959425523999</v>
      </c>
      <c r="DZ100">
        <v>6.55959525650918</v>
      </c>
      <c r="EA100">
        <v>5.9619403202332997</v>
      </c>
      <c r="EB100">
        <v>1.79472286874873</v>
      </c>
      <c r="EC100">
        <v>1.7080999428744399</v>
      </c>
      <c r="ED100">
        <v>4.7092152224280497</v>
      </c>
      <c r="EE100">
        <v>5.9619403202333503</v>
      </c>
      <c r="EF100">
        <v>210.53918851047999</v>
      </c>
      <c r="EG100">
        <v>0</v>
      </c>
      <c r="EH100">
        <v>0</v>
      </c>
      <c r="EI100">
        <v>3.12031152958301E-2</v>
      </c>
      <c r="EJ100">
        <v>7.6268206372757597</v>
      </c>
      <c r="EK100">
        <v>1.7080999428744399</v>
      </c>
      <c r="EL100">
        <v>0.530034629437103</v>
      </c>
      <c r="EM100">
        <v>0.97252767959467201</v>
      </c>
      <c r="EN100">
        <v>0.47790507626645301</v>
      </c>
      <c r="EO100">
        <v>0.997816808099805</v>
      </c>
      <c r="EP100">
        <v>0</v>
      </c>
      <c r="EQ100">
        <v>0.41865158298390698</v>
      </c>
      <c r="ER100">
        <v>11084.4336596007</v>
      </c>
      <c r="ES100">
        <v>0</v>
      </c>
      <c r="ET100">
        <v>-169.34457639335099</v>
      </c>
      <c r="EU100">
        <v>5563.1429889676801</v>
      </c>
      <c r="EV100">
        <v>0.847518031700495</v>
      </c>
      <c r="EW100">
        <v>2.0315042819245099</v>
      </c>
      <c r="EX100" s="2">
        <v>9.0957936018993803E-5</v>
      </c>
      <c r="EY100">
        <v>11038.3288278975</v>
      </c>
      <c r="EZ100" s="2">
        <v>7.7245033950727493E-5</v>
      </c>
      <c r="FA100">
        <v>9340.9300136479396</v>
      </c>
      <c r="FB100" s="2">
        <v>1.83686688889992E-4</v>
      </c>
      <c r="FC100">
        <v>22523.0686103552</v>
      </c>
      <c r="FD100">
        <v>2640.4024356218001</v>
      </c>
      <c r="FE100">
        <v>13447.8840662691</v>
      </c>
      <c r="FF100">
        <v>0.79840968731227602</v>
      </c>
      <c r="FG100" s="2">
        <v>3.1821885923916202E-4</v>
      </c>
      <c r="FH100">
        <v>1.04497650878015E-2</v>
      </c>
      <c r="FI100">
        <v>0.38180864361879402</v>
      </c>
      <c r="FJ100">
        <v>1623.7137794826799</v>
      </c>
      <c r="FK100">
        <v>1.1134409931068501</v>
      </c>
      <c r="FL100">
        <v>0.64495116751914905</v>
      </c>
      <c r="FM100">
        <v>23474.6621476988</v>
      </c>
      <c r="FN100" s="2">
        <v>9.6180389404597696E-5</v>
      </c>
      <c r="FO100">
        <v>10550.1662504459</v>
      </c>
      <c r="FP100" s="2">
        <v>6.3224763732427699E-5</v>
      </c>
      <c r="FQ100">
        <v>6696.7416056765696</v>
      </c>
      <c r="FR100">
        <v>2.1137582072002998</v>
      </c>
      <c r="FS100" s="2">
        <v>260768636.03175101</v>
      </c>
      <c r="FT100">
        <v>175.186942561541</v>
      </c>
      <c r="FU100">
        <v>6.2499801127913299E-2</v>
      </c>
      <c r="FV100">
        <v>1080.7731002497301</v>
      </c>
      <c r="FW100">
        <v>0.38557727443800599</v>
      </c>
      <c r="FX100">
        <v>0.11520756267981901</v>
      </c>
      <c r="FY100">
        <v>34.369844551394799</v>
      </c>
      <c r="FZ100">
        <v>23399.319995433201</v>
      </c>
      <c r="GA100">
        <v>6.4134478683284799</v>
      </c>
    </row>
    <row r="101" spans="1:183" x14ac:dyDescent="0.2">
      <c r="A101" t="s">
        <v>2525</v>
      </c>
      <c r="B101" t="s">
        <v>182</v>
      </c>
      <c r="C101" t="s">
        <v>1967</v>
      </c>
      <c r="D101" s="1">
        <v>42933</v>
      </c>
      <c r="E101" t="s">
        <v>362</v>
      </c>
      <c r="F101" t="s">
        <v>185</v>
      </c>
      <c r="G101" t="s">
        <v>186</v>
      </c>
      <c r="H101">
        <v>1</v>
      </c>
      <c r="I101">
        <v>400</v>
      </c>
      <c r="J101">
        <v>10</v>
      </c>
      <c r="K101" t="s">
        <v>187</v>
      </c>
      <c r="L101" t="s">
        <v>1968</v>
      </c>
      <c r="M101">
        <v>5</v>
      </c>
      <c r="N101">
        <v>0.703125</v>
      </c>
      <c r="O101">
        <v>0.703125</v>
      </c>
      <c r="P101" t="s">
        <v>1969</v>
      </c>
      <c r="Q101">
        <v>0</v>
      </c>
      <c r="R101" t="s">
        <v>194</v>
      </c>
      <c r="T101">
        <v>85698.200225830005</v>
      </c>
      <c r="U101">
        <v>85983.3984375</v>
      </c>
      <c r="V101">
        <v>34784</v>
      </c>
      <c r="W101">
        <v>17392.070353832802</v>
      </c>
      <c r="X101">
        <v>0.202945573045893</v>
      </c>
      <c r="Y101">
        <v>26.764259006761801</v>
      </c>
      <c r="Z101">
        <v>2.1079962774430399E-2</v>
      </c>
      <c r="AA101">
        <v>0.15788538314987599</v>
      </c>
      <c r="AB101">
        <v>1.8502029037299801</v>
      </c>
      <c r="AC101">
        <v>0.54048126180323897</v>
      </c>
      <c r="AD101">
        <v>0.85020290372998197</v>
      </c>
      <c r="AE101" t="s">
        <v>1970</v>
      </c>
      <c r="AF101" t="s">
        <v>1971</v>
      </c>
      <c r="AG101" t="s">
        <v>1972</v>
      </c>
      <c r="AH101" t="s">
        <v>193</v>
      </c>
      <c r="AI101" t="s">
        <v>193</v>
      </c>
      <c r="AJ101" t="s">
        <v>193</v>
      </c>
      <c r="AK101" t="s">
        <v>193</v>
      </c>
      <c r="AL101" t="s">
        <v>193</v>
      </c>
      <c r="AM101" t="s">
        <v>193</v>
      </c>
      <c r="AN101" t="s">
        <v>193</v>
      </c>
      <c r="AO101" t="s">
        <v>193</v>
      </c>
      <c r="AP101" t="s">
        <v>193</v>
      </c>
      <c r="AQ101">
        <v>4.1199365889693702E-2</v>
      </c>
      <c r="AR101" t="s">
        <v>193</v>
      </c>
      <c r="AS101" t="s">
        <v>193</v>
      </c>
      <c r="AT101">
        <v>91.805725969575406</v>
      </c>
      <c r="AU101" t="s">
        <v>193</v>
      </c>
      <c r="AV101" s="2">
        <v>49583893.626304097</v>
      </c>
      <c r="AW101">
        <v>78.587339006440104</v>
      </c>
      <c r="AX101">
        <v>1101.71454301109</v>
      </c>
      <c r="AY101">
        <v>-3.86763590242718</v>
      </c>
      <c r="AZ101">
        <v>32.031519398379899</v>
      </c>
      <c r="BA101">
        <v>81</v>
      </c>
      <c r="BB101">
        <v>-500</v>
      </c>
      <c r="BC101">
        <v>53</v>
      </c>
      <c r="BD101">
        <v>67</v>
      </c>
      <c r="BE101">
        <v>81</v>
      </c>
      <c r="BF101">
        <v>96</v>
      </c>
      <c r="BG101">
        <v>109</v>
      </c>
      <c r="BH101">
        <v>33.1920855477792</v>
      </c>
      <c r="BI101">
        <v>277</v>
      </c>
      <c r="BJ101">
        <v>29</v>
      </c>
      <c r="BK101">
        <v>777</v>
      </c>
      <c r="BL101">
        <v>20.2763375666933</v>
      </c>
      <c r="BM101">
        <v>12.194036597897799</v>
      </c>
      <c r="BN101">
        <v>20.1478265869365</v>
      </c>
      <c r="BO101">
        <v>0.42235919891700602</v>
      </c>
      <c r="BP101">
        <v>0.17791411042944699</v>
      </c>
      <c r="BQ101" t="s">
        <v>194</v>
      </c>
      <c r="BR101" s="2">
        <v>253146974</v>
      </c>
      <c r="BS101">
        <v>85.309345297711602</v>
      </c>
      <c r="BT101">
        <v>6757.2064819336301</v>
      </c>
      <c r="BU101">
        <v>42676.116943359302</v>
      </c>
      <c r="BV101">
        <v>0.501800537109375</v>
      </c>
      <c r="BW101">
        <v>104.305419921875</v>
      </c>
      <c r="BX101">
        <v>1.0357360839843699</v>
      </c>
      <c r="BY101">
        <v>99.914077758789006</v>
      </c>
      <c r="BZ101">
        <v>108.82394409179599</v>
      </c>
      <c r="CA101" t="s">
        <v>1973</v>
      </c>
      <c r="CB101" t="s">
        <v>1974</v>
      </c>
      <c r="CC101" t="s">
        <v>1975</v>
      </c>
      <c r="CD101" t="s">
        <v>1976</v>
      </c>
      <c r="CE101" t="s">
        <v>1977</v>
      </c>
      <c r="CF101" t="s">
        <v>1978</v>
      </c>
      <c r="CG101" t="s">
        <v>1979</v>
      </c>
      <c r="CH101">
        <v>108.40909613615401</v>
      </c>
      <c r="CI101">
        <v>11.098164730408399</v>
      </c>
      <c r="CJ101">
        <v>-3.8222231457836102</v>
      </c>
      <c r="CK101">
        <v>31.483285814680599</v>
      </c>
      <c r="CL101">
        <v>109</v>
      </c>
      <c r="CM101">
        <v>51</v>
      </c>
      <c r="CN101">
        <v>106</v>
      </c>
      <c r="CO101">
        <v>107</v>
      </c>
      <c r="CP101">
        <v>109</v>
      </c>
      <c r="CQ101">
        <v>110</v>
      </c>
      <c r="CR101">
        <v>111</v>
      </c>
      <c r="CS101">
        <v>3.3313908102185299</v>
      </c>
      <c r="CT101">
        <v>128</v>
      </c>
      <c r="CU101">
        <v>109</v>
      </c>
      <c r="CV101">
        <v>3</v>
      </c>
      <c r="CW101">
        <v>77</v>
      </c>
      <c r="CX101">
        <v>2.05584561978631</v>
      </c>
      <c r="CY101">
        <v>1.27281031391525</v>
      </c>
      <c r="CZ101">
        <v>2.0187442502299899</v>
      </c>
      <c r="DA101">
        <v>3.0729808927052901E-2</v>
      </c>
      <c r="DB101">
        <v>1.3824884792626699E-2</v>
      </c>
      <c r="DC101">
        <v>1.0103565743515901</v>
      </c>
      <c r="DD101">
        <v>3.3563318901927102</v>
      </c>
      <c r="DE101">
        <v>1084.0909613615299</v>
      </c>
      <c r="DF101">
        <v>0.12655295363622401</v>
      </c>
      <c r="DG101">
        <v>1.90742021771972E-3</v>
      </c>
      <c r="DH101">
        <v>1932</v>
      </c>
      <c r="DI101">
        <v>106</v>
      </c>
      <c r="DJ101">
        <v>-1546.5</v>
      </c>
      <c r="DK101">
        <v>111</v>
      </c>
      <c r="DL101">
        <v>0.501800537109375</v>
      </c>
      <c r="DM101">
        <v>104.305419921875</v>
      </c>
      <c r="DN101">
        <v>1.0357360839843699</v>
      </c>
      <c r="DO101">
        <v>99.914077758789006</v>
      </c>
      <c r="DP101">
        <v>108.82394409179599</v>
      </c>
      <c r="DQ101" t="s">
        <v>1980</v>
      </c>
      <c r="DR101" t="s">
        <v>1981</v>
      </c>
      <c r="DS101" t="s">
        <v>1982</v>
      </c>
      <c r="DT101" t="s">
        <v>1983</v>
      </c>
      <c r="DU101" t="s">
        <v>1977</v>
      </c>
      <c r="DV101" t="s">
        <v>1978</v>
      </c>
      <c r="DW101" t="s">
        <v>1984</v>
      </c>
      <c r="DX101">
        <v>5.5902177647912901E-2</v>
      </c>
      <c r="DY101">
        <v>108.556479594077</v>
      </c>
      <c r="DZ101">
        <v>7.7717397191562103</v>
      </c>
      <c r="EA101">
        <v>6.0709115099803697</v>
      </c>
      <c r="EB101">
        <v>1.8275264655257899</v>
      </c>
      <c r="EC101">
        <v>1.6581539725475201</v>
      </c>
      <c r="ED101">
        <v>6.7408436669936096</v>
      </c>
      <c r="EE101">
        <v>6.0709115099804496</v>
      </c>
      <c r="EF101">
        <v>217.112959188155</v>
      </c>
      <c r="EG101">
        <v>0.51753713982876304</v>
      </c>
      <c r="EH101">
        <v>2.05661388779823E-3</v>
      </c>
      <c r="EI101">
        <v>2.6014174412914402E-2</v>
      </c>
      <c r="EJ101">
        <v>9.4903182636687404</v>
      </c>
      <c r="EK101">
        <v>1.6581539725475201</v>
      </c>
      <c r="EL101">
        <v>0.55154156518451902</v>
      </c>
      <c r="EM101">
        <v>0.98007418672119295</v>
      </c>
      <c r="EN101">
        <v>0.50581324508428305</v>
      </c>
      <c r="EO101">
        <v>0.99851612191077499</v>
      </c>
      <c r="EP101">
        <v>0</v>
      </c>
      <c r="EQ101">
        <v>0.38943411600130401</v>
      </c>
      <c r="ER101">
        <v>11787.535842446699</v>
      </c>
      <c r="ES101">
        <v>0.51753713982876304</v>
      </c>
      <c r="ET101">
        <v>-228.60159467263901</v>
      </c>
      <c r="EU101">
        <v>10756.7795206962</v>
      </c>
      <c r="EV101">
        <v>0.82773730658335698</v>
      </c>
      <c r="EW101">
        <v>2.2374155877121602</v>
      </c>
      <c r="EX101" s="2">
        <v>8.5606591535564299E-5</v>
      </c>
      <c r="EY101">
        <v>11745.27849696</v>
      </c>
      <c r="EZ101" s="2">
        <v>7.1029318158919702E-5</v>
      </c>
      <c r="FA101">
        <v>9706.9907819049604</v>
      </c>
      <c r="FB101" s="2">
        <v>1.9046962984310499E-4</v>
      </c>
      <c r="FC101">
        <v>26363.860686205899</v>
      </c>
      <c r="FD101">
        <v>3189.5812333726599</v>
      </c>
      <c r="FE101">
        <v>17679.833363116599</v>
      </c>
      <c r="FF101">
        <v>0.77213661453541804</v>
      </c>
      <c r="FG101" s="2">
        <v>2.5488578840071201E-4</v>
      </c>
      <c r="FH101">
        <v>8.1531991878760705E-3</v>
      </c>
      <c r="FI101">
        <v>0.33934264898274702</v>
      </c>
      <c r="FJ101">
        <v>2947.7213314392002</v>
      </c>
      <c r="FK101">
        <v>1.6135226356318799</v>
      </c>
      <c r="FL101">
        <v>0.67846542712579105</v>
      </c>
      <c r="FM101">
        <v>31095.304840079199</v>
      </c>
      <c r="FN101" s="2">
        <v>9.2679006563997201E-5</v>
      </c>
      <c r="FO101">
        <v>11044.366544013499</v>
      </c>
      <c r="FP101" s="2">
        <v>6.4580453316244305E-5</v>
      </c>
      <c r="FQ101">
        <v>7333.66343772657</v>
      </c>
      <c r="FR101">
        <v>2.6334054670063902</v>
      </c>
      <c r="FS101" s="2">
        <v>367361731.84206003</v>
      </c>
      <c r="FT101">
        <v>195.768751769034</v>
      </c>
      <c r="FU101">
        <v>5.5411477998594597E-2</v>
      </c>
      <c r="FV101">
        <v>1503.50212284177</v>
      </c>
      <c r="FW101">
        <v>0.42555961586237601</v>
      </c>
      <c r="FX101">
        <v>0.101569687212511</v>
      </c>
      <c r="FY101">
        <v>53.221069486045202</v>
      </c>
      <c r="FZ101">
        <v>30998.3718142051</v>
      </c>
      <c r="GA101">
        <v>6.44584227095792</v>
      </c>
    </row>
    <row r="102" spans="1:183" x14ac:dyDescent="0.2">
      <c r="A102" t="s">
        <v>2526</v>
      </c>
      <c r="B102" t="s">
        <v>182</v>
      </c>
      <c r="C102" t="s">
        <v>1985</v>
      </c>
      <c r="D102" s="1">
        <v>42962</v>
      </c>
      <c r="E102" t="s">
        <v>362</v>
      </c>
      <c r="F102" t="s">
        <v>185</v>
      </c>
      <c r="G102" t="s">
        <v>186</v>
      </c>
      <c r="H102">
        <v>1</v>
      </c>
      <c r="I102">
        <v>400</v>
      </c>
      <c r="J102">
        <v>10</v>
      </c>
      <c r="K102" t="s">
        <v>187</v>
      </c>
      <c r="L102" t="s">
        <v>1986</v>
      </c>
      <c r="M102">
        <v>5</v>
      </c>
      <c r="N102">
        <v>0.734375</v>
      </c>
      <c r="O102">
        <v>0.734375</v>
      </c>
      <c r="P102" t="s">
        <v>1987</v>
      </c>
      <c r="Q102">
        <v>0</v>
      </c>
      <c r="R102" t="s">
        <v>194</v>
      </c>
      <c r="T102">
        <v>10232.669372558499</v>
      </c>
      <c r="U102">
        <v>10322.3291015625</v>
      </c>
      <c r="V102">
        <v>3828</v>
      </c>
      <c r="W102">
        <v>3505.4954850426702</v>
      </c>
      <c r="X102">
        <v>0.34257878930824298</v>
      </c>
      <c r="Y102">
        <v>20.283139438092402</v>
      </c>
      <c r="Z102">
        <v>2.7815693190383899E-2</v>
      </c>
      <c r="AA102">
        <v>0.27490460883421403</v>
      </c>
      <c r="AB102">
        <v>1.53793976551589</v>
      </c>
      <c r="AC102">
        <v>0.65022052386073503</v>
      </c>
      <c r="AD102">
        <v>0.53793976551588996</v>
      </c>
      <c r="AE102" t="s">
        <v>1988</v>
      </c>
      <c r="AF102" t="s">
        <v>1989</v>
      </c>
      <c r="AG102" t="s">
        <v>1990</v>
      </c>
      <c r="AH102" t="s">
        <v>193</v>
      </c>
      <c r="AI102" t="s">
        <v>193</v>
      </c>
      <c r="AJ102" t="s">
        <v>193</v>
      </c>
      <c r="AK102" t="s">
        <v>193</v>
      </c>
      <c r="AL102" t="s">
        <v>193</v>
      </c>
      <c r="AM102" t="s">
        <v>193</v>
      </c>
      <c r="AN102" t="s">
        <v>193</v>
      </c>
      <c r="AO102" t="s">
        <v>193</v>
      </c>
      <c r="AP102" t="s">
        <v>193</v>
      </c>
      <c r="AQ102">
        <v>0.28569557038855697</v>
      </c>
      <c r="AR102" t="s">
        <v>193</v>
      </c>
      <c r="AS102" t="s">
        <v>193</v>
      </c>
      <c r="AT102">
        <v>40.499362516684201</v>
      </c>
      <c r="AU102" t="s">
        <v>193</v>
      </c>
      <c r="AV102">
        <v>3646577.9984229999</v>
      </c>
      <c r="AW102">
        <v>77.366248693834606</v>
      </c>
      <c r="AX102">
        <v>1966.15844287649</v>
      </c>
      <c r="AY102">
        <v>-2.7961786411495901</v>
      </c>
      <c r="AZ102">
        <v>11.4848503633773</v>
      </c>
      <c r="BA102">
        <v>86</v>
      </c>
      <c r="BB102">
        <v>-279</v>
      </c>
      <c r="BC102">
        <v>32</v>
      </c>
      <c r="BD102">
        <v>71</v>
      </c>
      <c r="BE102">
        <v>86</v>
      </c>
      <c r="BF102">
        <v>100</v>
      </c>
      <c r="BG102">
        <v>114</v>
      </c>
      <c r="BH102">
        <v>44.341385216031497</v>
      </c>
      <c r="BI102">
        <v>167</v>
      </c>
      <c r="BJ102">
        <v>29</v>
      </c>
      <c r="BK102">
        <v>446</v>
      </c>
      <c r="BL102">
        <v>27.1795432434823</v>
      </c>
      <c r="BM102">
        <v>13.1634252105983</v>
      </c>
      <c r="BN102">
        <v>25.824451410658298</v>
      </c>
      <c r="BO102">
        <v>0.57313603754404396</v>
      </c>
      <c r="BP102">
        <v>0.16959064327485299</v>
      </c>
      <c r="BQ102" t="s">
        <v>194</v>
      </c>
      <c r="BR102" s="2">
        <v>30439088</v>
      </c>
      <c r="BS102">
        <v>89.172276408269397</v>
      </c>
      <c r="BT102">
        <v>798.59988037108997</v>
      </c>
      <c r="BU102">
        <v>3198.9872233072902</v>
      </c>
      <c r="BV102">
        <v>0.56896850585937497</v>
      </c>
      <c r="BW102">
        <v>104.379150390625</v>
      </c>
      <c r="BX102">
        <v>0.96805541992187505</v>
      </c>
      <c r="BY102">
        <v>102.064064025878</v>
      </c>
      <c r="BZ102">
        <v>101.91176605224599</v>
      </c>
      <c r="CA102" t="s">
        <v>1991</v>
      </c>
      <c r="CB102" t="s">
        <v>1992</v>
      </c>
      <c r="CC102" t="s">
        <v>1993</v>
      </c>
      <c r="CD102" t="s">
        <v>1994</v>
      </c>
      <c r="CE102" t="s">
        <v>1995</v>
      </c>
      <c r="CF102" t="s">
        <v>1996</v>
      </c>
      <c r="CG102" t="s">
        <v>1997</v>
      </c>
      <c r="CH102">
        <v>108.282654127481</v>
      </c>
      <c r="CI102">
        <v>19.7617994341859</v>
      </c>
      <c r="CJ102">
        <v>-2.77394561645644</v>
      </c>
      <c r="CK102">
        <v>11.309348118156599</v>
      </c>
      <c r="CL102">
        <v>109</v>
      </c>
      <c r="CM102">
        <v>73</v>
      </c>
      <c r="CN102">
        <v>104</v>
      </c>
      <c r="CO102">
        <v>108</v>
      </c>
      <c r="CP102">
        <v>109</v>
      </c>
      <c r="CQ102">
        <v>111</v>
      </c>
      <c r="CR102">
        <v>112</v>
      </c>
      <c r="CS102">
        <v>4.4454245504997498</v>
      </c>
      <c r="CT102">
        <v>117</v>
      </c>
      <c r="CU102">
        <v>109</v>
      </c>
      <c r="CV102">
        <v>3</v>
      </c>
      <c r="CW102">
        <v>44</v>
      </c>
      <c r="CX102">
        <v>2.7406188138001002</v>
      </c>
      <c r="CY102">
        <v>1.4047789262505399</v>
      </c>
      <c r="CZ102">
        <v>2.5689655172413701</v>
      </c>
      <c r="DA102">
        <v>4.10538935004875E-2</v>
      </c>
      <c r="DB102">
        <v>1.3698630136986301E-2</v>
      </c>
      <c r="DC102">
        <v>1.0905200355270901</v>
      </c>
      <c r="DD102">
        <v>3.62262914405501</v>
      </c>
      <c r="DE102">
        <v>1082.8265412748101</v>
      </c>
      <c r="DF102">
        <v>0.117167922878116</v>
      </c>
      <c r="DG102">
        <v>5.53246150672888E-3</v>
      </c>
      <c r="DH102">
        <v>232</v>
      </c>
      <c r="DI102">
        <v>108</v>
      </c>
      <c r="DJ102">
        <v>-182.5</v>
      </c>
      <c r="DK102">
        <v>111</v>
      </c>
      <c r="DL102">
        <v>0.56896850585937497</v>
      </c>
      <c r="DM102">
        <v>104.379150390625</v>
      </c>
      <c r="DN102">
        <v>0.96805541992187505</v>
      </c>
      <c r="DO102">
        <v>102.064064025878</v>
      </c>
      <c r="DP102">
        <v>101.91176605224599</v>
      </c>
      <c r="DQ102" t="s">
        <v>1998</v>
      </c>
      <c r="DR102" t="s">
        <v>1999</v>
      </c>
      <c r="DS102" t="s">
        <v>2000</v>
      </c>
      <c r="DT102" t="s">
        <v>2001</v>
      </c>
      <c r="DU102" t="s">
        <v>1995</v>
      </c>
      <c r="DV102" t="s">
        <v>1996</v>
      </c>
      <c r="DW102" t="s">
        <v>2002</v>
      </c>
      <c r="DX102">
        <v>5.4163407331481103E-2</v>
      </c>
      <c r="DY102">
        <v>108.793083915518</v>
      </c>
      <c r="DZ102">
        <v>13.952330448464901</v>
      </c>
      <c r="EA102">
        <v>6.6299515643273503</v>
      </c>
      <c r="EB102">
        <v>1.9958142906618599</v>
      </c>
      <c r="EC102">
        <v>2.4836943328028398</v>
      </c>
      <c r="ED102">
        <v>12.881244928227501</v>
      </c>
      <c r="EE102">
        <v>6.6299515643274098</v>
      </c>
      <c r="EF102">
        <v>217.58616783103599</v>
      </c>
      <c r="EG102">
        <v>0</v>
      </c>
      <c r="EH102">
        <v>0</v>
      </c>
      <c r="EI102">
        <v>2.11590355249043E-2</v>
      </c>
      <c r="EJ102">
        <v>19.049982467024499</v>
      </c>
      <c r="EK102">
        <v>2.4836943328028398</v>
      </c>
      <c r="EL102">
        <v>0.486503519264468</v>
      </c>
      <c r="EM102">
        <v>0.95208251656623699</v>
      </c>
      <c r="EN102">
        <v>0.42807571108084802</v>
      </c>
      <c r="EO102">
        <v>0.99163534796612196</v>
      </c>
      <c r="EP102">
        <v>0</v>
      </c>
      <c r="EQ102">
        <v>0.317318976303327</v>
      </c>
      <c r="ER102">
        <v>11840.362447063801</v>
      </c>
      <c r="ES102">
        <v>0</v>
      </c>
      <c r="ET102">
        <v>-566.99056516241001</v>
      </c>
      <c r="EU102">
        <v>19585.7986813629</v>
      </c>
      <c r="EV102">
        <v>0.87933043186448101</v>
      </c>
      <c r="EW102">
        <v>1.8574051532649001</v>
      </c>
      <c r="EX102" s="2">
        <v>8.6274637550405895E-5</v>
      </c>
      <c r="EY102">
        <v>11696.0167136501</v>
      </c>
      <c r="EZ102" s="2">
        <v>7.6181875939064305E-5</v>
      </c>
      <c r="FA102">
        <v>10251.134249463999</v>
      </c>
      <c r="FB102" s="2">
        <v>1.5799312681793001E-4</v>
      </c>
      <c r="FC102">
        <v>21958.627346057401</v>
      </c>
      <c r="FD102">
        <v>344.93380576611702</v>
      </c>
      <c r="FE102">
        <v>2430.9200490353501</v>
      </c>
      <c r="FF102">
        <v>0.83662888835302596</v>
      </c>
      <c r="FG102">
        <v>1.7259201818872799E-3</v>
      </c>
      <c r="FH102">
        <v>4.9812541385105498E-2</v>
      </c>
      <c r="FI102">
        <v>8.3625348919549897E-2</v>
      </c>
      <c r="FJ102">
        <v>1809.51098187769</v>
      </c>
      <c r="FK102">
        <v>3.0578775645958598</v>
      </c>
      <c r="FL102">
        <v>0.67700111089648696</v>
      </c>
      <c r="FM102">
        <v>1307.6661991584799</v>
      </c>
      <c r="FN102" s="2">
        <v>9.46619554338271E-5</v>
      </c>
      <c r="FO102">
        <v>10802.4782608695</v>
      </c>
      <c r="FP102" s="2">
        <v>6.6529961626955595E-5</v>
      </c>
      <c r="FQ102">
        <v>7059.69270840831</v>
      </c>
      <c r="FR102">
        <v>0.109321701618645</v>
      </c>
      <c r="FS102" s="2">
        <v>15647126.384291699</v>
      </c>
      <c r="FT102">
        <v>32.450210378681597</v>
      </c>
      <c r="FU102">
        <v>4.551221651989E-2</v>
      </c>
      <c r="FV102">
        <v>302.12482468443199</v>
      </c>
      <c r="FW102">
        <v>0.42373748202585099</v>
      </c>
      <c r="FX102">
        <v>0.186259143155694</v>
      </c>
      <c r="FY102">
        <v>54.343419838739202</v>
      </c>
      <c r="FZ102">
        <v>1278.8414989898999</v>
      </c>
      <c r="GA102">
        <v>6.3459591596462799</v>
      </c>
    </row>
    <row r="103" spans="1:183" x14ac:dyDescent="0.2">
      <c r="A103" t="s">
        <v>2527</v>
      </c>
      <c r="B103" t="s">
        <v>182</v>
      </c>
      <c r="C103" t="s">
        <v>2003</v>
      </c>
      <c r="D103" s="1">
        <v>42906</v>
      </c>
      <c r="E103" t="s">
        <v>381</v>
      </c>
      <c r="F103" t="s">
        <v>185</v>
      </c>
      <c r="G103" t="s">
        <v>186</v>
      </c>
      <c r="H103">
        <v>1</v>
      </c>
      <c r="I103">
        <v>400</v>
      </c>
      <c r="J103">
        <v>10</v>
      </c>
      <c r="K103" t="s">
        <v>187</v>
      </c>
      <c r="L103" t="s">
        <v>2004</v>
      </c>
      <c r="M103">
        <v>5</v>
      </c>
      <c r="N103">
        <v>0.75390625</v>
      </c>
      <c r="O103">
        <v>0.75390625</v>
      </c>
      <c r="P103" t="s">
        <v>2005</v>
      </c>
      <c r="Q103">
        <v>0</v>
      </c>
      <c r="R103" t="s">
        <v>194</v>
      </c>
      <c r="T103">
        <v>69799.957370757998</v>
      </c>
      <c r="U103">
        <v>70089.117965698199</v>
      </c>
      <c r="V103">
        <v>24663</v>
      </c>
      <c r="W103">
        <v>14015.920583004399</v>
      </c>
      <c r="X103">
        <v>0.200801277120497</v>
      </c>
      <c r="Y103">
        <v>23.772632937194501</v>
      </c>
      <c r="Z103">
        <v>2.37327344025502E-2</v>
      </c>
      <c r="AA103">
        <v>0.200123368392223</v>
      </c>
      <c r="AB103">
        <v>1.70962449622091</v>
      </c>
      <c r="AC103">
        <v>0.58492376671630197</v>
      </c>
      <c r="AD103">
        <v>0.70962449622091694</v>
      </c>
      <c r="AE103" t="s">
        <v>2006</v>
      </c>
      <c r="AF103" t="s">
        <v>2007</v>
      </c>
      <c r="AG103" t="s">
        <v>2008</v>
      </c>
      <c r="AH103" t="s">
        <v>193</v>
      </c>
      <c r="AI103" t="s">
        <v>193</v>
      </c>
      <c r="AJ103" t="s">
        <v>193</v>
      </c>
      <c r="AK103" t="s">
        <v>193</v>
      </c>
      <c r="AL103" t="s">
        <v>193</v>
      </c>
      <c r="AM103" t="s">
        <v>193</v>
      </c>
      <c r="AN103" t="s">
        <v>193</v>
      </c>
      <c r="AO103" t="s">
        <v>193</v>
      </c>
      <c r="AP103" t="s">
        <v>193</v>
      </c>
      <c r="AQ103">
        <v>0.17578273809025999</v>
      </c>
      <c r="AR103" t="s">
        <v>193</v>
      </c>
      <c r="AS103" t="s">
        <v>193</v>
      </c>
      <c r="AT103">
        <v>78.115665702139196</v>
      </c>
      <c r="AU103" t="s">
        <v>193</v>
      </c>
      <c r="AV103" s="2">
        <v>42229797.7825801</v>
      </c>
      <c r="AW103">
        <v>42.011799051209998</v>
      </c>
      <c r="AX103">
        <v>1594.9057116521001</v>
      </c>
      <c r="AY103">
        <v>-3.9888006037737198</v>
      </c>
      <c r="AZ103">
        <v>32.7317269221614</v>
      </c>
      <c r="BA103">
        <v>45</v>
      </c>
      <c r="BB103">
        <v>-563</v>
      </c>
      <c r="BC103">
        <v>16</v>
      </c>
      <c r="BD103">
        <v>32</v>
      </c>
      <c r="BE103">
        <v>45</v>
      </c>
      <c r="BF103">
        <v>61</v>
      </c>
      <c r="BG103">
        <v>77</v>
      </c>
      <c r="BH103">
        <v>39.9362706277401</v>
      </c>
      <c r="BI103">
        <v>302</v>
      </c>
      <c r="BJ103">
        <v>29</v>
      </c>
      <c r="BK103">
        <v>865</v>
      </c>
      <c r="BL103">
        <v>22.771873562593701</v>
      </c>
      <c r="BM103">
        <v>12.4406071232</v>
      </c>
      <c r="BN103">
        <v>22.601305599481002</v>
      </c>
      <c r="BO103">
        <v>0.95059653548899503</v>
      </c>
      <c r="BP103">
        <v>0.31182795698924698</v>
      </c>
      <c r="BQ103" t="s">
        <v>194</v>
      </c>
      <c r="BR103" s="2">
        <v>82865139</v>
      </c>
      <c r="BS103">
        <v>57.964618269866897</v>
      </c>
      <c r="BT103">
        <v>2944.5699396514701</v>
      </c>
      <c r="BU103">
        <v>23988.251419067299</v>
      </c>
      <c r="BV103">
        <v>0.542797790527343</v>
      </c>
      <c r="BW103">
        <v>86.057594299316406</v>
      </c>
      <c r="BX103">
        <v>0.99749749755859296</v>
      </c>
      <c r="BY103">
        <v>79.250709533691406</v>
      </c>
      <c r="BZ103">
        <v>56.919998168945298</v>
      </c>
      <c r="CA103" t="s">
        <v>2009</v>
      </c>
      <c r="CB103" t="s">
        <v>2010</v>
      </c>
      <c r="CC103" t="s">
        <v>2011</v>
      </c>
      <c r="CD103" t="s">
        <v>2012</v>
      </c>
      <c r="CE103" t="s">
        <v>2013</v>
      </c>
      <c r="CF103" t="s">
        <v>2014</v>
      </c>
      <c r="CG103" t="s">
        <v>2015</v>
      </c>
      <c r="CH103">
        <v>104.750070956493</v>
      </c>
      <c r="CI103">
        <v>16.045064970839899</v>
      </c>
      <c r="CJ103">
        <v>-3.97012839269907</v>
      </c>
      <c r="CK103">
        <v>32.628027204201103</v>
      </c>
      <c r="CL103">
        <v>105</v>
      </c>
      <c r="CM103">
        <v>44</v>
      </c>
      <c r="CN103">
        <v>102</v>
      </c>
      <c r="CO103">
        <v>104</v>
      </c>
      <c r="CP103">
        <v>105</v>
      </c>
      <c r="CQ103">
        <v>107</v>
      </c>
      <c r="CR103">
        <v>108</v>
      </c>
      <c r="CS103">
        <v>4.0056291604241103</v>
      </c>
      <c r="CT103">
        <v>131</v>
      </c>
      <c r="CU103">
        <v>105</v>
      </c>
      <c r="CV103">
        <v>3</v>
      </c>
      <c r="CW103">
        <v>87</v>
      </c>
      <c r="CX103">
        <v>2.2967149788316901</v>
      </c>
      <c r="CY103">
        <v>1.3134400662390799</v>
      </c>
      <c r="CZ103">
        <v>2.2440903377528998</v>
      </c>
      <c r="DA103">
        <v>3.82398706162956E-2</v>
      </c>
      <c r="DB103">
        <v>1.42180094786729E-2</v>
      </c>
      <c r="DC103">
        <v>1.05437415177309</v>
      </c>
      <c r="DD103">
        <v>3.5025551172980798</v>
      </c>
      <c r="DE103">
        <v>1047.5007095649</v>
      </c>
      <c r="DF103">
        <v>0.121462133794174</v>
      </c>
      <c r="DG103">
        <v>2.21920540619502E-3</v>
      </c>
      <c r="DH103">
        <v>1627</v>
      </c>
      <c r="DI103">
        <v>103</v>
      </c>
      <c r="DJ103">
        <v>-1028.5</v>
      </c>
      <c r="DK103">
        <v>106</v>
      </c>
      <c r="DL103">
        <v>0.542797790527343</v>
      </c>
      <c r="DM103">
        <v>86.057594299316406</v>
      </c>
      <c r="DN103">
        <v>0.99749749755859296</v>
      </c>
      <c r="DO103">
        <v>79.250709533691406</v>
      </c>
      <c r="DP103">
        <v>56.919998168945298</v>
      </c>
      <c r="DQ103" t="s">
        <v>2016</v>
      </c>
      <c r="DR103" t="s">
        <v>2017</v>
      </c>
      <c r="DS103" t="s">
        <v>2018</v>
      </c>
      <c r="DT103" t="s">
        <v>2019</v>
      </c>
      <c r="DU103" t="s">
        <v>2013</v>
      </c>
      <c r="DV103" t="s">
        <v>2014</v>
      </c>
      <c r="DW103" t="s">
        <v>2020</v>
      </c>
      <c r="DX103">
        <v>5.2631385668486901E-2</v>
      </c>
      <c r="DY103">
        <v>104.984159539346</v>
      </c>
      <c r="DZ103">
        <v>10.368747166538601</v>
      </c>
      <c r="EA103">
        <v>6.4285934804827196</v>
      </c>
      <c r="EB103">
        <v>1.9351994675552</v>
      </c>
      <c r="EC103">
        <v>2.0699683080617901</v>
      </c>
      <c r="ED103">
        <v>9.1110609411606198</v>
      </c>
      <c r="EE103">
        <v>6.4285934804828599</v>
      </c>
      <c r="EF103">
        <v>209.96831907869301</v>
      </c>
      <c r="EG103">
        <v>5.6285568840179003</v>
      </c>
      <c r="EH103">
        <v>4.3800540552536203E-2</v>
      </c>
      <c r="EI103">
        <v>2.1945786388754E-2</v>
      </c>
      <c r="EJ103">
        <v>13.3958297375407</v>
      </c>
      <c r="EK103">
        <v>2.0699683080617901</v>
      </c>
      <c r="EL103">
        <v>0.49568312254900598</v>
      </c>
      <c r="EM103">
        <v>0.97796569953176604</v>
      </c>
      <c r="EN103">
        <v>0.43672968884566699</v>
      </c>
      <c r="EO103">
        <v>0.99834689742095695</v>
      </c>
      <c r="EP103" s="2">
        <v>2.4617432610771199E-8</v>
      </c>
      <c r="EQ103">
        <v>0.35402852811518998</v>
      </c>
      <c r="ER103">
        <v>11025.3445864808</v>
      </c>
      <c r="ES103">
        <v>5.6285568840179003</v>
      </c>
      <c r="ET103">
        <v>-425.55742788159699</v>
      </c>
      <c r="EU103">
        <v>23702.633181034402</v>
      </c>
      <c r="EV103">
        <v>0.86635405750835304</v>
      </c>
      <c r="EW103">
        <v>1.8115280162466201</v>
      </c>
      <c r="EX103" s="2">
        <v>9.1958344220949097E-5</v>
      </c>
      <c r="EY103">
        <v>10970.481725706901</v>
      </c>
      <c r="EZ103" s="2">
        <v>7.9877074440756301E-5</v>
      </c>
      <c r="FA103">
        <v>9489.9434492230594</v>
      </c>
      <c r="FB103" s="2">
        <v>1.65404295853998E-4</v>
      </c>
      <c r="FC103">
        <v>19948.602742663799</v>
      </c>
      <c r="FD103">
        <v>2289.54602202143</v>
      </c>
      <c r="FE103">
        <v>14535.3214890165</v>
      </c>
      <c r="FF103">
        <v>0.82261188513469197</v>
      </c>
      <c r="FG103" s="2">
        <v>3.2014400506071402E-4</v>
      </c>
      <c r="FH103">
        <v>1.01646040182292E-2</v>
      </c>
      <c r="FI103">
        <v>0.23079086520158201</v>
      </c>
      <c r="FJ103">
        <v>5030.5449352621899</v>
      </c>
      <c r="FK103">
        <v>2.8680882218757402</v>
      </c>
      <c r="FL103">
        <v>0.71074315407234301</v>
      </c>
      <c r="FM103">
        <v>12514.724985540701</v>
      </c>
      <c r="FN103" s="2">
        <v>1.0013040305815E-4</v>
      </c>
      <c r="FO103">
        <v>10340.8909774436</v>
      </c>
      <c r="FP103" s="2">
        <v>7.36083822058668E-5</v>
      </c>
      <c r="FQ103">
        <v>7157.2263703913404</v>
      </c>
      <c r="FR103">
        <v>1.1371727668973</v>
      </c>
      <c r="FS103" s="2">
        <v>137775550.38432601</v>
      </c>
      <c r="FT103">
        <v>163.631000578369</v>
      </c>
      <c r="FU103">
        <v>4.7319549039435797E-2</v>
      </c>
      <c r="FV103">
        <v>1616.5066512434901</v>
      </c>
      <c r="FW103">
        <v>0.467468667219055</v>
      </c>
      <c r="FX103">
        <v>0.14021003122085701</v>
      </c>
      <c r="FY103">
        <v>69.730846753623794</v>
      </c>
      <c r="FZ103">
        <v>12463.857317555299</v>
      </c>
      <c r="GA103">
        <v>6.51765314136036</v>
      </c>
    </row>
    <row r="104" spans="1:183" x14ac:dyDescent="0.2">
      <c r="A104" t="s">
        <v>2528</v>
      </c>
      <c r="B104" t="s">
        <v>182</v>
      </c>
      <c r="C104" t="s">
        <v>2021</v>
      </c>
      <c r="D104" s="1">
        <v>43952</v>
      </c>
      <c r="E104" t="s">
        <v>2022</v>
      </c>
      <c r="F104" t="s">
        <v>185</v>
      </c>
      <c r="G104" t="s">
        <v>186</v>
      </c>
      <c r="H104">
        <v>1</v>
      </c>
      <c r="I104">
        <v>400</v>
      </c>
      <c r="J104">
        <v>10</v>
      </c>
      <c r="K104" t="s">
        <v>187</v>
      </c>
      <c r="L104" t="s">
        <v>2023</v>
      </c>
      <c r="M104">
        <v>2</v>
      </c>
      <c r="N104">
        <v>0.66015625</v>
      </c>
      <c r="O104">
        <v>0.66015625</v>
      </c>
      <c r="P104" t="s">
        <v>2024</v>
      </c>
      <c r="Q104">
        <v>0</v>
      </c>
      <c r="R104" t="s">
        <v>194</v>
      </c>
      <c r="T104">
        <v>8854.6755663553795</v>
      </c>
      <c r="U104">
        <v>8906.1370239257794</v>
      </c>
      <c r="V104">
        <v>10218</v>
      </c>
      <c r="W104">
        <v>4197.9508920425096</v>
      </c>
      <c r="X104">
        <v>0.47409426359936102</v>
      </c>
      <c r="Y104">
        <v>30.717323919199298</v>
      </c>
      <c r="Z104">
        <v>1.8367146338392999E-2</v>
      </c>
      <c r="AA104">
        <v>0.119863131179404</v>
      </c>
      <c r="AB104">
        <v>2.0281720516416901</v>
      </c>
      <c r="AC104">
        <v>0.49305481711502303</v>
      </c>
      <c r="AD104">
        <v>1.0281720516416899</v>
      </c>
      <c r="AE104" t="s">
        <v>2025</v>
      </c>
      <c r="AF104" t="s">
        <v>2026</v>
      </c>
      <c r="AG104" t="s">
        <v>2027</v>
      </c>
      <c r="AH104" t="s">
        <v>193</v>
      </c>
      <c r="AI104" t="s">
        <v>193</v>
      </c>
      <c r="AJ104" t="s">
        <v>193</v>
      </c>
      <c r="AK104" t="s">
        <v>193</v>
      </c>
      <c r="AL104" t="s">
        <v>193</v>
      </c>
      <c r="AM104" t="s">
        <v>193</v>
      </c>
      <c r="AN104" t="s">
        <v>193</v>
      </c>
      <c r="AO104" t="s">
        <v>193</v>
      </c>
      <c r="AP104" t="s">
        <v>193</v>
      </c>
      <c r="AQ104">
        <v>0.381694580372543</v>
      </c>
      <c r="AR104" t="s">
        <v>193</v>
      </c>
      <c r="AS104" t="s">
        <v>193</v>
      </c>
      <c r="AT104">
        <v>67.463990333808795</v>
      </c>
      <c r="AU104" t="s">
        <v>193</v>
      </c>
      <c r="AV104">
        <v>5432911.06736713</v>
      </c>
      <c r="AW104">
        <v>33.564102564102498</v>
      </c>
      <c r="AX104">
        <v>4031.68863895288</v>
      </c>
      <c r="AY104">
        <v>-3.10389887280173</v>
      </c>
      <c r="AZ104">
        <v>16.195564351634701</v>
      </c>
      <c r="BA104">
        <v>44</v>
      </c>
      <c r="BB104">
        <v>-580</v>
      </c>
      <c r="BC104">
        <v>-20</v>
      </c>
      <c r="BD104">
        <v>23</v>
      </c>
      <c r="BE104">
        <v>44</v>
      </c>
      <c r="BF104">
        <v>63</v>
      </c>
      <c r="BG104">
        <v>85</v>
      </c>
      <c r="BH104">
        <v>63.495579680422502</v>
      </c>
      <c r="BI104">
        <v>240</v>
      </c>
      <c r="BJ104">
        <v>40</v>
      </c>
      <c r="BK104">
        <v>820</v>
      </c>
      <c r="BL104">
        <v>37.448108165078203</v>
      </c>
      <c r="BM104">
        <v>18.2352975277403</v>
      </c>
      <c r="BN104">
        <v>36.056762575846498</v>
      </c>
      <c r="BO104">
        <v>1.89177051759853</v>
      </c>
      <c r="BP104">
        <v>0.46511627906976699</v>
      </c>
      <c r="BQ104" t="s">
        <v>194</v>
      </c>
      <c r="BR104" s="2">
        <v>52706872</v>
      </c>
      <c r="BS104">
        <v>71.820871756659102</v>
      </c>
      <c r="BT104">
        <v>298.92649652099499</v>
      </c>
      <c r="BU104">
        <v>9165.5870259602798</v>
      </c>
      <c r="BV104">
        <v>0.51337976074218705</v>
      </c>
      <c r="BW104">
        <v>54.588436126708899</v>
      </c>
      <c r="BX104">
        <v>1.04854992675781</v>
      </c>
      <c r="BY104">
        <v>49.859283447265597</v>
      </c>
      <c r="BZ104">
        <v>63.296916961669901</v>
      </c>
      <c r="CA104" t="s">
        <v>2028</v>
      </c>
      <c r="CB104" t="s">
        <v>2029</v>
      </c>
      <c r="CC104" t="s">
        <v>2030</v>
      </c>
      <c r="CD104" t="s">
        <v>2031</v>
      </c>
      <c r="CE104" t="s">
        <v>2032</v>
      </c>
      <c r="CF104" t="s">
        <v>2033</v>
      </c>
      <c r="CG104" t="s">
        <v>2034</v>
      </c>
      <c r="CH104">
        <v>103.907614014484</v>
      </c>
      <c r="CI104">
        <v>40.406223099400201</v>
      </c>
      <c r="CJ104">
        <v>-3.0965306516208102</v>
      </c>
      <c r="CK104">
        <v>16.1555092598859</v>
      </c>
      <c r="CL104">
        <v>105</v>
      </c>
      <c r="CM104">
        <v>43</v>
      </c>
      <c r="CN104">
        <v>99</v>
      </c>
      <c r="CO104">
        <v>103</v>
      </c>
      <c r="CP104">
        <v>105</v>
      </c>
      <c r="CQ104">
        <v>107</v>
      </c>
      <c r="CR104">
        <v>109</v>
      </c>
      <c r="CS104">
        <v>6.3565889515840297</v>
      </c>
      <c r="CT104">
        <v>125</v>
      </c>
      <c r="CU104">
        <v>105</v>
      </c>
      <c r="CV104">
        <v>4</v>
      </c>
      <c r="CW104">
        <v>82</v>
      </c>
      <c r="CX104">
        <v>3.7419442683075101</v>
      </c>
      <c r="CY104">
        <v>1.8698472153327199</v>
      </c>
      <c r="CZ104">
        <v>3.5934625171266301</v>
      </c>
      <c r="DA104">
        <v>6.1175391350030799E-2</v>
      </c>
      <c r="DB104">
        <v>1.9047619047619001E-2</v>
      </c>
      <c r="DC104">
        <v>1.2488263609819801</v>
      </c>
      <c r="DD104">
        <v>4.1485113741819797</v>
      </c>
      <c r="DE104">
        <v>1039.0761401448001</v>
      </c>
      <c r="DF104">
        <v>8.2975859096131796E-2</v>
      </c>
      <c r="DG104">
        <v>2.84965923412765E-3</v>
      </c>
      <c r="DH104">
        <v>356.5</v>
      </c>
      <c r="DI104">
        <v>103</v>
      </c>
      <c r="DJ104">
        <v>-318.5</v>
      </c>
      <c r="DK104">
        <v>107</v>
      </c>
      <c r="DL104">
        <v>0.51337976074218705</v>
      </c>
      <c r="DM104">
        <v>54.588436126708899</v>
      </c>
      <c r="DN104">
        <v>1.04854992675781</v>
      </c>
      <c r="DO104">
        <v>49.859283447265597</v>
      </c>
      <c r="DP104">
        <v>63.296916961669901</v>
      </c>
      <c r="DQ104" t="s">
        <v>2035</v>
      </c>
      <c r="DR104" t="s">
        <v>2036</v>
      </c>
      <c r="DS104" t="s">
        <v>2037</v>
      </c>
      <c r="DT104" t="s">
        <v>2038</v>
      </c>
      <c r="DU104" t="s">
        <v>2032</v>
      </c>
      <c r="DV104" t="s">
        <v>2033</v>
      </c>
      <c r="DW104" t="s">
        <v>2039</v>
      </c>
      <c r="DX104">
        <v>2.9867163042558501E-2</v>
      </c>
      <c r="DY104">
        <v>104.537768752761</v>
      </c>
      <c r="DZ104">
        <v>25.280602927825999</v>
      </c>
      <c r="EA104">
        <v>7.5459595511323103</v>
      </c>
      <c r="EB104">
        <v>2.2715601709579101</v>
      </c>
      <c r="EC104">
        <v>3.03140893664626</v>
      </c>
      <c r="ED104">
        <v>15.9175909105175</v>
      </c>
      <c r="EE104">
        <v>7.5459595511326096</v>
      </c>
      <c r="EF104">
        <v>209.07553750552199</v>
      </c>
      <c r="EG104">
        <v>19.770531645074399</v>
      </c>
      <c r="EH104">
        <v>9.5760279226958997E-2</v>
      </c>
      <c r="EI104">
        <v>1.14242018721768E-2</v>
      </c>
      <c r="EJ104">
        <v>25.1070310516963</v>
      </c>
      <c r="EK104">
        <v>3.03140893664626</v>
      </c>
      <c r="EL104">
        <v>0.41418191941879401</v>
      </c>
      <c r="EM104">
        <v>0.966552428712247</v>
      </c>
      <c r="EN104">
        <v>0.33903817543713</v>
      </c>
      <c r="EO104">
        <v>0.99654224653124901</v>
      </c>
      <c r="EP104" s="2">
        <v>1.1281270271032499E-8</v>
      </c>
      <c r="EQ104">
        <v>0.50343290618156999</v>
      </c>
      <c r="ER104">
        <v>10940.872183207801</v>
      </c>
      <c r="ES104">
        <v>19.770531645074399</v>
      </c>
      <c r="ET104">
        <v>-1747.5687320587299</v>
      </c>
      <c r="EU104">
        <v>110137.94722410401</v>
      </c>
      <c r="EV104">
        <v>0.91338780237505302</v>
      </c>
      <c r="EW104">
        <v>1.4541845994014599</v>
      </c>
      <c r="EX104" s="2">
        <v>9.4657054102759299E-5</v>
      </c>
      <c r="EY104">
        <v>10804.3850849549</v>
      </c>
      <c r="EZ104" s="2">
        <v>8.6821647263931906E-5</v>
      </c>
      <c r="FA104">
        <v>9844.2551681121804</v>
      </c>
      <c r="FB104" s="2">
        <v>1.35750085497416E-4</v>
      </c>
      <c r="FC104">
        <v>15837.187874212401</v>
      </c>
      <c r="FD104">
        <v>701.86148021275505</v>
      </c>
      <c r="FE104">
        <v>7238.3529969720503</v>
      </c>
      <c r="FF104">
        <v>0.88381739614857602</v>
      </c>
      <c r="FG104" s="2">
        <v>8.0956064856149799E-4</v>
      </c>
      <c r="FH104">
        <v>3.1775663796732502E-2</v>
      </c>
      <c r="FI104">
        <v>9.2628005035413102E-2</v>
      </c>
      <c r="FJ104">
        <v>6950.3543562114301</v>
      </c>
      <c r="FK104">
        <v>5.578211521828</v>
      </c>
      <c r="FL104">
        <v>0.71606226056672195</v>
      </c>
      <c r="FM104">
        <v>1140.8680688336501</v>
      </c>
      <c r="FN104" s="2">
        <v>1.0450956208095499E-4</v>
      </c>
      <c r="FO104">
        <v>10131.246271510499</v>
      </c>
      <c r="FP104" s="2">
        <v>7.8069308036258502E-5</v>
      </c>
      <c r="FQ104">
        <v>7037.5313532678501</v>
      </c>
      <c r="FR104">
        <v>0.103361018297778</v>
      </c>
      <c r="FS104" s="2">
        <v>12598759.208412999</v>
      </c>
      <c r="FT104">
        <v>96.231357552581201</v>
      </c>
      <c r="FU104">
        <v>3.6799754322210797E-2</v>
      </c>
      <c r="FV104">
        <v>1240.5495219885199</v>
      </c>
      <c r="FW104">
        <v>0.47439752274895802</v>
      </c>
      <c r="FX104">
        <v>0.25592092385985499</v>
      </c>
      <c r="FY104">
        <v>109.437070292364</v>
      </c>
      <c r="FZ104">
        <v>1125.59984879117</v>
      </c>
      <c r="GA104">
        <v>6.7846708514451501</v>
      </c>
    </row>
    <row r="105" spans="1:183" x14ac:dyDescent="0.2">
      <c r="A105" t="s">
        <v>2529</v>
      </c>
      <c r="B105" t="s">
        <v>182</v>
      </c>
      <c r="C105" t="s">
        <v>2040</v>
      </c>
      <c r="D105" s="1">
        <v>42145</v>
      </c>
      <c r="E105" t="s">
        <v>400</v>
      </c>
      <c r="F105" t="s">
        <v>185</v>
      </c>
      <c r="G105" t="s">
        <v>186</v>
      </c>
      <c r="H105">
        <v>1</v>
      </c>
      <c r="I105">
        <v>400</v>
      </c>
      <c r="J105">
        <v>10</v>
      </c>
      <c r="K105" t="s">
        <v>187</v>
      </c>
      <c r="L105" t="s">
        <v>2041</v>
      </c>
      <c r="M105">
        <v>3</v>
      </c>
      <c r="N105">
        <v>0.765625</v>
      </c>
      <c r="O105">
        <v>0.765625</v>
      </c>
      <c r="P105" t="s">
        <v>2042</v>
      </c>
      <c r="Q105">
        <v>0</v>
      </c>
      <c r="R105" t="s">
        <v>194</v>
      </c>
      <c r="T105">
        <v>39898.966278076099</v>
      </c>
      <c r="U105">
        <v>40059.6533203125</v>
      </c>
      <c r="V105">
        <v>22780</v>
      </c>
      <c r="W105">
        <v>11436.235281576601</v>
      </c>
      <c r="X105">
        <v>0.28662986408900198</v>
      </c>
      <c r="Y105">
        <v>30.652293729117101</v>
      </c>
      <c r="Z105">
        <v>1.8406113047645101E-2</v>
      </c>
      <c r="AA105">
        <v>0.120372260492629</v>
      </c>
      <c r="AB105">
        <v>2.0253085427539501</v>
      </c>
      <c r="AC105">
        <v>0.493751929096308</v>
      </c>
      <c r="AD105">
        <v>1.0253085427539499</v>
      </c>
      <c r="AE105" t="s">
        <v>2043</v>
      </c>
      <c r="AF105" t="s">
        <v>2044</v>
      </c>
      <c r="AG105" t="s">
        <v>2045</v>
      </c>
      <c r="AH105" t="s">
        <v>193</v>
      </c>
      <c r="AI105" t="s">
        <v>193</v>
      </c>
      <c r="AJ105" t="s">
        <v>193</v>
      </c>
      <c r="AK105" t="s">
        <v>193</v>
      </c>
      <c r="AL105" t="s">
        <v>193</v>
      </c>
      <c r="AM105" t="s">
        <v>193</v>
      </c>
      <c r="AN105" t="s">
        <v>193</v>
      </c>
      <c r="AO105" t="s">
        <v>193</v>
      </c>
      <c r="AP105" t="s">
        <v>193</v>
      </c>
      <c r="AQ105">
        <v>0.25225470652035997</v>
      </c>
      <c r="AR105" t="s">
        <v>193</v>
      </c>
      <c r="AS105" t="s">
        <v>193</v>
      </c>
      <c r="AT105">
        <v>98.883815213273394</v>
      </c>
      <c r="AU105" t="s">
        <v>193</v>
      </c>
      <c r="AV105" s="2">
        <v>37735375.647750698</v>
      </c>
      <c r="AW105">
        <v>23.773266022826899</v>
      </c>
      <c r="AX105">
        <v>2490.4735697545202</v>
      </c>
      <c r="AY105">
        <v>-5.7349071249158197</v>
      </c>
      <c r="AZ105">
        <v>65.972915154485804</v>
      </c>
      <c r="BA105">
        <v>28</v>
      </c>
      <c r="BB105">
        <v>-922</v>
      </c>
      <c r="BC105">
        <v>-12</v>
      </c>
      <c r="BD105">
        <v>8</v>
      </c>
      <c r="BE105">
        <v>28</v>
      </c>
      <c r="BF105">
        <v>47</v>
      </c>
      <c r="BG105">
        <v>64</v>
      </c>
      <c r="BH105">
        <v>49.904644771348899</v>
      </c>
      <c r="BI105">
        <v>241</v>
      </c>
      <c r="BJ105">
        <v>39</v>
      </c>
      <c r="BK105">
        <v>1163</v>
      </c>
      <c r="BL105">
        <v>27.895354696331399</v>
      </c>
      <c r="BM105">
        <v>16.351384499471699</v>
      </c>
      <c r="BN105">
        <v>27.646575943810301</v>
      </c>
      <c r="BO105">
        <v>2.0991917864138099</v>
      </c>
      <c r="BP105">
        <v>0.70909090909090899</v>
      </c>
      <c r="BQ105" t="s">
        <v>194</v>
      </c>
      <c r="BR105" s="2">
        <v>69607519</v>
      </c>
      <c r="BS105">
        <v>55.277859466034101</v>
      </c>
      <c r="BT105">
        <v>952.34879516601097</v>
      </c>
      <c r="BU105">
        <v>13932.9514160156</v>
      </c>
      <c r="BV105">
        <v>0.51173657226562497</v>
      </c>
      <c r="BW105">
        <v>55.247421264648402</v>
      </c>
      <c r="BX105">
        <v>1.0428171386718701</v>
      </c>
      <c r="BY105">
        <v>50.3136596679687</v>
      </c>
      <c r="BZ105">
        <v>46.289543151855398</v>
      </c>
      <c r="CA105" t="s">
        <v>2046</v>
      </c>
      <c r="CB105" t="s">
        <v>2047</v>
      </c>
      <c r="CC105" t="s">
        <v>2048</v>
      </c>
      <c r="CD105" t="s">
        <v>2049</v>
      </c>
      <c r="CE105" t="s">
        <v>2050</v>
      </c>
      <c r="CF105" t="s">
        <v>2051</v>
      </c>
      <c r="CG105" t="s">
        <v>2052</v>
      </c>
      <c r="CH105">
        <v>102.92704126426599</v>
      </c>
      <c r="CI105">
        <v>24.9837024838113</v>
      </c>
      <c r="CJ105">
        <v>-5.7014043863593997</v>
      </c>
      <c r="CK105">
        <v>65.493374326271095</v>
      </c>
      <c r="CL105">
        <v>103</v>
      </c>
      <c r="CM105">
        <v>8</v>
      </c>
      <c r="CN105">
        <v>99</v>
      </c>
      <c r="CO105">
        <v>101</v>
      </c>
      <c r="CP105">
        <v>103</v>
      </c>
      <c r="CQ105">
        <v>105</v>
      </c>
      <c r="CR105">
        <v>107</v>
      </c>
      <c r="CS105">
        <v>4.9983699826854897</v>
      </c>
      <c r="CT105">
        <v>125</v>
      </c>
      <c r="CU105">
        <v>103</v>
      </c>
      <c r="CV105">
        <v>4</v>
      </c>
      <c r="CW105">
        <v>117</v>
      </c>
      <c r="CX105">
        <v>2.7854410280883202</v>
      </c>
      <c r="CY105">
        <v>1.8086148503756301</v>
      </c>
      <c r="CZ105">
        <v>2.7685689201053498</v>
      </c>
      <c r="DA105">
        <v>4.8562262368468501E-2</v>
      </c>
      <c r="DB105">
        <v>1.94174757281553E-2</v>
      </c>
      <c r="DC105">
        <v>1.1443479635266101</v>
      </c>
      <c r="DD105">
        <v>3.8014416503662001</v>
      </c>
      <c r="DE105">
        <v>1029.2704126426599</v>
      </c>
      <c r="DF105">
        <v>9.3918239972990494E-2</v>
      </c>
      <c r="DG105">
        <v>2.0304771792945802E-3</v>
      </c>
      <c r="DH105">
        <v>608.5</v>
      </c>
      <c r="DI105">
        <v>100</v>
      </c>
      <c r="DJ105">
        <v>-678</v>
      </c>
      <c r="DK105">
        <v>106</v>
      </c>
      <c r="DL105">
        <v>0.51173657226562497</v>
      </c>
      <c r="DM105">
        <v>55.247421264648402</v>
      </c>
      <c r="DN105">
        <v>1.0428171386718701</v>
      </c>
      <c r="DO105">
        <v>50.3136596679687</v>
      </c>
      <c r="DP105">
        <v>46.289543151855398</v>
      </c>
      <c r="DQ105" t="s">
        <v>2053</v>
      </c>
      <c r="DR105" t="s">
        <v>2054</v>
      </c>
      <c r="DS105" t="s">
        <v>2055</v>
      </c>
      <c r="DT105" t="s">
        <v>2056</v>
      </c>
      <c r="DU105" t="s">
        <v>2050</v>
      </c>
      <c r="DV105" t="s">
        <v>2051</v>
      </c>
      <c r="DW105" t="s">
        <v>2057</v>
      </c>
      <c r="DX105">
        <v>2.4113001801338099E-2</v>
      </c>
      <c r="DY105">
        <v>103.16000144750301</v>
      </c>
      <c r="DZ105">
        <v>18.600710331958702</v>
      </c>
      <c r="EA105">
        <v>7.1784557131043698</v>
      </c>
      <c r="EB105">
        <v>2.1609304921898902</v>
      </c>
      <c r="EC105">
        <v>2.7015729541945301</v>
      </c>
      <c r="ED105">
        <v>13.3202149730615</v>
      </c>
      <c r="EE105">
        <v>7.1784557131040998</v>
      </c>
      <c r="EF105">
        <v>206.32000289500701</v>
      </c>
      <c r="EG105">
        <v>53.449314517709603</v>
      </c>
      <c r="EH105">
        <v>7.1735035536002698</v>
      </c>
      <c r="EI105">
        <v>1.1354562200020299E-2</v>
      </c>
      <c r="EJ105">
        <v>20.618711399896998</v>
      </c>
      <c r="EK105">
        <v>2.7015729541945301</v>
      </c>
      <c r="EL105">
        <v>0.412877299648303</v>
      </c>
      <c r="EM105">
        <v>0.97836351769499796</v>
      </c>
      <c r="EN105">
        <v>0.33255372245529502</v>
      </c>
      <c r="EO105">
        <v>0.99861042912253595</v>
      </c>
      <c r="EP105" s="2">
        <v>2.55880819429094E-6</v>
      </c>
      <c r="EQ105">
        <v>0.445754731084891</v>
      </c>
      <c r="ER105">
        <v>10650.277253281</v>
      </c>
      <c r="ES105">
        <v>53.449314517709603</v>
      </c>
      <c r="ET105">
        <v>-2174.7893119821001</v>
      </c>
      <c r="EU105">
        <v>221721.648497849</v>
      </c>
      <c r="EV105">
        <v>0.91282746724558905</v>
      </c>
      <c r="EW105">
        <v>1.4340393480609199</v>
      </c>
      <c r="EX105" s="2">
        <v>9.7056756941872206E-5</v>
      </c>
      <c r="EY105">
        <v>10609.871067228099</v>
      </c>
      <c r="EZ105" s="2">
        <v>8.8878793379780003E-5</v>
      </c>
      <c r="FA105">
        <v>9678.0361593303096</v>
      </c>
      <c r="FB105" s="2">
        <v>1.3779615675712801E-4</v>
      </c>
      <c r="FC105">
        <v>15248.585165750501</v>
      </c>
      <c r="FD105">
        <v>1829.18855002186</v>
      </c>
      <c r="FE105">
        <v>16078.281070818901</v>
      </c>
      <c r="FF105">
        <v>0.88480110758425001</v>
      </c>
      <c r="FG105" s="2">
        <v>3.3113630612319499E-4</v>
      </c>
      <c r="FH105">
        <v>1.03473354027577E-2</v>
      </c>
      <c r="FI105">
        <v>0.16742191651011301</v>
      </c>
      <c r="FJ105">
        <v>11556.009730309899</v>
      </c>
      <c r="FK105">
        <v>7.2520224666517601</v>
      </c>
      <c r="FL105">
        <v>0.68787166215165996</v>
      </c>
      <c r="FM105">
        <v>3569.3884333189399</v>
      </c>
      <c r="FN105" s="2">
        <v>1.07610108619218E-4</v>
      </c>
      <c r="FO105">
        <v>10327.624082865699</v>
      </c>
      <c r="FP105" s="2">
        <v>7.7885010353135603E-5</v>
      </c>
      <c r="FQ105">
        <v>6997.6908389138598</v>
      </c>
      <c r="FR105">
        <v>0.33179728838688799</v>
      </c>
      <c r="FS105" s="2">
        <v>38424544.622787997</v>
      </c>
      <c r="FT105">
        <v>237.033232628398</v>
      </c>
      <c r="FU105">
        <v>5.1150891805869299E-2</v>
      </c>
      <c r="FV105">
        <v>2026.2632714717299</v>
      </c>
      <c r="FW105">
        <v>0.43726009310999697</v>
      </c>
      <c r="FX105">
        <v>0.20342405618963999</v>
      </c>
      <c r="FY105">
        <v>89.4508745384408</v>
      </c>
      <c r="FZ105">
        <v>3545.2229558447402</v>
      </c>
      <c r="GA105">
        <v>6.5731756342893402</v>
      </c>
    </row>
    <row r="106" spans="1:183" x14ac:dyDescent="0.2">
      <c r="A106" t="s">
        <v>2530</v>
      </c>
      <c r="B106" t="s">
        <v>182</v>
      </c>
      <c r="C106" t="s">
        <v>2058</v>
      </c>
      <c r="D106" s="1">
        <v>41984</v>
      </c>
      <c r="E106" t="s">
        <v>362</v>
      </c>
      <c r="F106" t="s">
        <v>185</v>
      </c>
      <c r="G106" t="s">
        <v>186</v>
      </c>
      <c r="H106">
        <v>1</v>
      </c>
      <c r="I106">
        <v>400</v>
      </c>
      <c r="J106">
        <v>10</v>
      </c>
      <c r="K106" t="s">
        <v>187</v>
      </c>
      <c r="L106" t="s">
        <v>2059</v>
      </c>
      <c r="M106">
        <v>5</v>
      </c>
      <c r="N106">
        <v>0.78515625</v>
      </c>
      <c r="O106">
        <v>0.78515625</v>
      </c>
      <c r="P106" t="s">
        <v>2060</v>
      </c>
      <c r="Q106">
        <v>0</v>
      </c>
      <c r="R106" t="s">
        <v>194</v>
      </c>
      <c r="T106">
        <v>40564.904050826997</v>
      </c>
      <c r="U106">
        <v>40742.524566650303</v>
      </c>
      <c r="V106">
        <v>13218</v>
      </c>
      <c r="W106">
        <v>12242.8411963292</v>
      </c>
      <c r="X106">
        <v>0.30180870589485898</v>
      </c>
      <c r="Y106">
        <v>33.394340516524601</v>
      </c>
      <c r="Z106">
        <v>1.68947664430916E-2</v>
      </c>
      <c r="AA106">
        <v>0.101416035863446</v>
      </c>
      <c r="AB106">
        <v>2.1443604553447901</v>
      </c>
      <c r="AC106">
        <v>0.46633950813050701</v>
      </c>
      <c r="AD106">
        <v>1.1443604553447799</v>
      </c>
      <c r="AE106" t="s">
        <v>2061</v>
      </c>
      <c r="AF106" t="s">
        <v>2062</v>
      </c>
      <c r="AG106" t="s">
        <v>2063</v>
      </c>
      <c r="AH106" t="s">
        <v>193</v>
      </c>
      <c r="AI106" t="s">
        <v>193</v>
      </c>
      <c r="AJ106" t="s">
        <v>193</v>
      </c>
      <c r="AK106" t="s">
        <v>193</v>
      </c>
      <c r="AL106" t="s">
        <v>193</v>
      </c>
      <c r="AM106" t="s">
        <v>193</v>
      </c>
      <c r="AN106" t="s">
        <v>193</v>
      </c>
      <c r="AO106" t="s">
        <v>193</v>
      </c>
      <c r="AP106" t="s">
        <v>193</v>
      </c>
      <c r="AQ106">
        <v>0.277625013212631</v>
      </c>
      <c r="AR106" t="s">
        <v>193</v>
      </c>
      <c r="AS106" t="s">
        <v>193</v>
      </c>
      <c r="AT106">
        <v>58.420949524055402</v>
      </c>
      <c r="AU106" t="s">
        <v>193</v>
      </c>
      <c r="AV106" s="2">
        <v>28785418.139495</v>
      </c>
      <c r="AW106">
        <v>43.613859888031399</v>
      </c>
      <c r="AX106">
        <v>3463.19678777945</v>
      </c>
      <c r="AY106">
        <v>-2.7252443487027298</v>
      </c>
      <c r="AZ106">
        <v>14.737566812634601</v>
      </c>
      <c r="BA106">
        <v>55</v>
      </c>
      <c r="BB106">
        <v>-666</v>
      </c>
      <c r="BC106">
        <v>-21</v>
      </c>
      <c r="BD106">
        <v>26</v>
      </c>
      <c r="BE106">
        <v>55</v>
      </c>
      <c r="BF106">
        <v>78</v>
      </c>
      <c r="BG106">
        <v>97</v>
      </c>
      <c r="BH106">
        <v>58.848931917065798</v>
      </c>
      <c r="BI106">
        <v>195</v>
      </c>
      <c r="BJ106">
        <v>52</v>
      </c>
      <c r="BK106">
        <v>861</v>
      </c>
      <c r="BL106">
        <v>39.208692640270399</v>
      </c>
      <c r="BM106">
        <v>22.921249959633801</v>
      </c>
      <c r="BN106">
        <v>38.018913602662998</v>
      </c>
      <c r="BO106">
        <v>1.3493172140266101</v>
      </c>
      <c r="BP106">
        <v>0.5</v>
      </c>
      <c r="BQ106" t="s">
        <v>194</v>
      </c>
      <c r="BR106" s="2">
        <v>70919402</v>
      </c>
      <c r="BS106">
        <v>73.248655701741498</v>
      </c>
      <c r="BT106">
        <v>1776.93875793457</v>
      </c>
      <c r="BU106">
        <v>13239.727935790999</v>
      </c>
      <c r="BV106">
        <v>0.45310571289062501</v>
      </c>
      <c r="BW106">
        <v>101.557823181152</v>
      </c>
      <c r="BX106">
        <v>1.0202584228515601</v>
      </c>
      <c r="BY106">
        <v>93.933532714843693</v>
      </c>
      <c r="BZ106">
        <v>72.106063842773395</v>
      </c>
      <c r="CA106" t="s">
        <v>2064</v>
      </c>
      <c r="CB106" t="s">
        <v>2065</v>
      </c>
      <c r="CC106" t="s">
        <v>2066</v>
      </c>
      <c r="CD106" t="s">
        <v>2067</v>
      </c>
      <c r="CE106" t="s">
        <v>2068</v>
      </c>
      <c r="CF106" t="s">
        <v>2069</v>
      </c>
      <c r="CG106" t="s">
        <v>2070</v>
      </c>
      <c r="CH106">
        <v>104.91125737630399</v>
      </c>
      <c r="CI106">
        <v>34.7920188305648</v>
      </c>
      <c r="CJ106">
        <v>-2.72420049660853</v>
      </c>
      <c r="CK106">
        <v>14.7776530832424</v>
      </c>
      <c r="CL106">
        <v>106</v>
      </c>
      <c r="CM106">
        <v>34</v>
      </c>
      <c r="CN106">
        <v>98</v>
      </c>
      <c r="CO106">
        <v>103</v>
      </c>
      <c r="CP106">
        <v>106</v>
      </c>
      <c r="CQ106">
        <v>108</v>
      </c>
      <c r="CR106">
        <v>110</v>
      </c>
      <c r="CS106">
        <v>5.8984759752468898</v>
      </c>
      <c r="CT106">
        <v>120</v>
      </c>
      <c r="CU106">
        <v>108</v>
      </c>
      <c r="CV106">
        <v>5</v>
      </c>
      <c r="CW106">
        <v>86</v>
      </c>
      <c r="CX106">
        <v>3.92410626316184</v>
      </c>
      <c r="CY106">
        <v>2.4378695351984998</v>
      </c>
      <c r="CZ106">
        <v>3.7941443486155202</v>
      </c>
      <c r="DA106">
        <v>5.6223479946386802E-2</v>
      </c>
      <c r="DB106">
        <v>2.3696682464454898E-2</v>
      </c>
      <c r="DC106">
        <v>1.27401824257744</v>
      </c>
      <c r="DD106">
        <v>4.2321969934170198</v>
      </c>
      <c r="DE106">
        <v>1049.11257376305</v>
      </c>
      <c r="DF106">
        <v>7.0202691318946506E-2</v>
      </c>
      <c r="DG106">
        <v>2.3045917725118001E-3</v>
      </c>
      <c r="DH106">
        <v>233</v>
      </c>
      <c r="DI106">
        <v>102</v>
      </c>
      <c r="DJ106">
        <v>-308.5</v>
      </c>
      <c r="DK106">
        <v>110</v>
      </c>
      <c r="DL106">
        <v>0.45310571289062501</v>
      </c>
      <c r="DM106">
        <v>101.557823181152</v>
      </c>
      <c r="DN106">
        <v>1.0202584228515601</v>
      </c>
      <c r="DO106">
        <v>93.933532714843693</v>
      </c>
      <c r="DP106">
        <v>72.106063842773395</v>
      </c>
      <c r="DQ106" t="s">
        <v>2071</v>
      </c>
      <c r="DR106" t="s">
        <v>2072</v>
      </c>
      <c r="DS106" t="s">
        <v>2073</v>
      </c>
      <c r="DT106" t="s">
        <v>2074</v>
      </c>
      <c r="DU106" t="s">
        <v>2068</v>
      </c>
      <c r="DV106" t="s">
        <v>2069</v>
      </c>
      <c r="DW106" t="s">
        <v>2075</v>
      </c>
      <c r="DX106">
        <v>2.1636911870074001E-2</v>
      </c>
      <c r="DY106">
        <v>105.550367954382</v>
      </c>
      <c r="DZ106">
        <v>25.052611445096801</v>
      </c>
      <c r="EA106">
        <v>7.8005850792502098</v>
      </c>
      <c r="EB106">
        <v>2.3482100925831899</v>
      </c>
      <c r="EC106">
        <v>3.18190978027227</v>
      </c>
      <c r="ED106">
        <v>17.336930625488201</v>
      </c>
      <c r="EE106">
        <v>7.8005850792504701</v>
      </c>
      <c r="EF106">
        <v>211.10073590876399</v>
      </c>
      <c r="EG106">
        <v>13.373547022857601</v>
      </c>
      <c r="EH106">
        <v>8.2190801277861394E-2</v>
      </c>
      <c r="EI106">
        <v>8.4986196483294897E-3</v>
      </c>
      <c r="EJ106">
        <v>27.461480475280599</v>
      </c>
      <c r="EK106">
        <v>3.18190978027227</v>
      </c>
      <c r="EL106">
        <v>0.41188240385782099</v>
      </c>
      <c r="EM106">
        <v>0.96649300145989003</v>
      </c>
      <c r="EN106">
        <v>0.33807099082026199</v>
      </c>
      <c r="EO106">
        <v>0.99656680501018602</v>
      </c>
      <c r="EP106" s="2">
        <v>5.6663053316049999E-8</v>
      </c>
      <c r="EQ106">
        <v>0.45192379374375902</v>
      </c>
      <c r="ER106">
        <v>11152.202046513001</v>
      </c>
      <c r="ES106">
        <v>13.373547022857601</v>
      </c>
      <c r="ET106">
        <v>-1249.0548148882001</v>
      </c>
      <c r="EU106">
        <v>70571.740024009501</v>
      </c>
      <c r="EV106">
        <v>0.91354039598144399</v>
      </c>
      <c r="EW106">
        <v>1.4633637444396701</v>
      </c>
      <c r="EX106" s="2">
        <v>9.2575966598834502E-5</v>
      </c>
      <c r="EY106">
        <v>10997.307799136401</v>
      </c>
      <c r="EZ106" s="2">
        <v>8.4933470324297799E-5</v>
      </c>
      <c r="FA106">
        <v>10015.266839948001</v>
      </c>
      <c r="FB106" s="2">
        <v>1.3346121197490299E-4</v>
      </c>
      <c r="FC106">
        <v>16267.7286277807</v>
      </c>
      <c r="FD106">
        <v>783.084260739863</v>
      </c>
      <c r="FE106">
        <v>9399.9259356769198</v>
      </c>
      <c r="FF106">
        <v>0.88399851019006703</v>
      </c>
      <c r="FG106" s="2">
        <v>6.2766026621714896E-4</v>
      </c>
      <c r="FH106">
        <v>4.0338071145132499E-2</v>
      </c>
      <c r="FI106">
        <v>0.14449832224463399</v>
      </c>
      <c r="FJ106">
        <v>6415.0283929834504</v>
      </c>
      <c r="FK106">
        <v>3.4831251279543398</v>
      </c>
      <c r="FL106">
        <v>0.72085491705151705</v>
      </c>
      <c r="FM106">
        <v>958.22710826607295</v>
      </c>
      <c r="FN106" s="2">
        <v>1.00879885573562E-4</v>
      </c>
      <c r="FO106">
        <v>10288.3849151127</v>
      </c>
      <c r="FP106" s="2">
        <v>7.4907063794186194E-5</v>
      </c>
      <c r="FQ106">
        <v>7243.6888358953402</v>
      </c>
      <c r="FR106">
        <v>8.3554562985718298E-2</v>
      </c>
      <c r="FS106" s="2">
        <v>11001763.6618424</v>
      </c>
      <c r="FT106">
        <v>146.362649596437</v>
      </c>
      <c r="FU106">
        <v>4.0735499470202399E-2</v>
      </c>
      <c r="FV106">
        <v>1727.60172557751</v>
      </c>
      <c r="FW106">
        <v>0.480824304363348</v>
      </c>
      <c r="FX106">
        <v>0.27182629747314202</v>
      </c>
      <c r="FY106">
        <v>73.099928743221298</v>
      </c>
      <c r="FZ106">
        <v>944.69339220609299</v>
      </c>
      <c r="GA106">
        <v>6.5657004375042503</v>
      </c>
    </row>
    <row r="107" spans="1:183" x14ac:dyDescent="0.2">
      <c r="A107" t="s">
        <v>2531</v>
      </c>
      <c r="B107" s="3" t="s">
        <v>2076</v>
      </c>
    </row>
    <row r="108" spans="1:183" x14ac:dyDescent="0.2">
      <c r="A108" t="s">
        <v>2532</v>
      </c>
      <c r="B108" t="s">
        <v>182</v>
      </c>
      <c r="C108" t="s">
        <v>2077</v>
      </c>
      <c r="D108" s="1">
        <v>43213</v>
      </c>
      <c r="E108" t="s">
        <v>362</v>
      </c>
      <c r="F108" t="s">
        <v>185</v>
      </c>
      <c r="G108" t="s">
        <v>186</v>
      </c>
      <c r="H108">
        <v>1</v>
      </c>
      <c r="I108">
        <v>400</v>
      </c>
      <c r="J108">
        <v>10</v>
      </c>
      <c r="K108" t="s">
        <v>187</v>
      </c>
      <c r="L108" t="s">
        <v>2078</v>
      </c>
      <c r="M108">
        <v>5</v>
      </c>
      <c r="N108">
        <v>0.828125</v>
      </c>
      <c r="O108">
        <v>0.828125</v>
      </c>
      <c r="P108" t="s">
        <v>2079</v>
      </c>
      <c r="Q108">
        <v>0</v>
      </c>
      <c r="R108" t="s">
        <v>194</v>
      </c>
      <c r="T108">
        <v>1055.5466715494699</v>
      </c>
      <c r="U108">
        <v>1110.9814453125</v>
      </c>
      <c r="V108">
        <v>324</v>
      </c>
      <c r="W108">
        <v>796.30648511557797</v>
      </c>
      <c r="X108">
        <v>0.75440196684685501</v>
      </c>
      <c r="Y108">
        <v>21.288395906642201</v>
      </c>
      <c r="Z108">
        <v>2.6502212098175101E-2</v>
      </c>
      <c r="AA108">
        <v>0.24955512707723801</v>
      </c>
      <c r="AB108">
        <v>1.5883437595438299</v>
      </c>
      <c r="AC108">
        <v>0.629586633240652</v>
      </c>
      <c r="AD108">
        <v>0.588343759543829</v>
      </c>
      <c r="AE108" t="s">
        <v>2080</v>
      </c>
      <c r="AF108" t="s">
        <v>2081</v>
      </c>
      <c r="AG108" t="s">
        <v>2082</v>
      </c>
      <c r="AH108" t="s">
        <v>193</v>
      </c>
      <c r="AI108" t="s">
        <v>193</v>
      </c>
      <c r="AJ108" t="s">
        <v>193</v>
      </c>
      <c r="AK108" t="s">
        <v>193</v>
      </c>
      <c r="AL108" t="s">
        <v>193</v>
      </c>
      <c r="AM108" t="s">
        <v>193</v>
      </c>
      <c r="AN108" t="s">
        <v>193</v>
      </c>
      <c r="AO108" t="s">
        <v>193</v>
      </c>
      <c r="AP108" t="s">
        <v>193</v>
      </c>
      <c r="AQ108">
        <v>1.8743649938489499</v>
      </c>
      <c r="AR108" t="s">
        <v>193</v>
      </c>
      <c r="AS108" t="s">
        <v>193</v>
      </c>
      <c r="AT108">
        <v>18.716669594324799</v>
      </c>
      <c r="AU108" t="s">
        <v>193</v>
      </c>
      <c r="AV108">
        <v>-12223.491085350701</v>
      </c>
      <c r="AW108">
        <v>-11.580246913580201</v>
      </c>
      <c r="AX108">
        <v>6404.66948635878</v>
      </c>
      <c r="AY108">
        <v>-1.6067844858107301</v>
      </c>
      <c r="AZ108">
        <v>2.9914849875328899</v>
      </c>
      <c r="BA108">
        <v>12</v>
      </c>
      <c r="BB108">
        <v>-406</v>
      </c>
      <c r="BC108">
        <v>-144</v>
      </c>
      <c r="BD108">
        <v>-40</v>
      </c>
      <c r="BE108">
        <v>12</v>
      </c>
      <c r="BF108">
        <v>46</v>
      </c>
      <c r="BG108">
        <v>59</v>
      </c>
      <c r="BH108">
        <v>80.029178968416105</v>
      </c>
      <c r="BI108">
        <v>99</v>
      </c>
      <c r="BJ108">
        <v>86</v>
      </c>
      <c r="BK108">
        <v>505</v>
      </c>
      <c r="BL108">
        <v>60.537722908093201</v>
      </c>
      <c r="BM108">
        <v>39.371301775147899</v>
      </c>
      <c r="BN108">
        <v>57.061728395061699</v>
      </c>
      <c r="BO108">
        <v>-6.9108352840529799</v>
      </c>
      <c r="BP108">
        <v>14.3333333333333</v>
      </c>
      <c r="BQ108" t="s">
        <v>194</v>
      </c>
      <c r="BR108">
        <v>2118562</v>
      </c>
      <c r="BS108">
        <v>80.862671270112401</v>
      </c>
      <c r="BT108">
        <v>-12.865439453124999</v>
      </c>
      <c r="BU108">
        <v>0</v>
      </c>
      <c r="BV108" t="s">
        <v>194</v>
      </c>
      <c r="BW108" t="s">
        <v>194</v>
      </c>
      <c r="BX108" t="s">
        <v>194</v>
      </c>
      <c r="BY108" t="s">
        <v>194</v>
      </c>
      <c r="BZ108" t="s">
        <v>194</v>
      </c>
      <c r="CA108" t="s">
        <v>2083</v>
      </c>
      <c r="CB108" t="s">
        <v>2084</v>
      </c>
      <c r="CC108" t="s">
        <v>2085</v>
      </c>
      <c r="CD108" t="s">
        <v>2086</v>
      </c>
      <c r="CE108" t="s">
        <v>2087</v>
      </c>
      <c r="CF108" t="s">
        <v>2088</v>
      </c>
      <c r="CG108" t="s">
        <v>2089</v>
      </c>
      <c r="CH108">
        <v>99.379629629629505</v>
      </c>
      <c r="CI108">
        <v>64.457733196158998</v>
      </c>
      <c r="CJ108">
        <v>-1.6135400892288101</v>
      </c>
      <c r="CK108">
        <v>3.0127896875064502</v>
      </c>
      <c r="CL108">
        <v>102</v>
      </c>
      <c r="CM108">
        <v>60</v>
      </c>
      <c r="CN108">
        <v>86</v>
      </c>
      <c r="CO108">
        <v>97</v>
      </c>
      <c r="CP108">
        <v>102</v>
      </c>
      <c r="CQ108">
        <v>105</v>
      </c>
      <c r="CR108">
        <v>106</v>
      </c>
      <c r="CS108">
        <v>8.02855735460356</v>
      </c>
      <c r="CT108">
        <v>110</v>
      </c>
      <c r="CU108">
        <v>105</v>
      </c>
      <c r="CV108">
        <v>8</v>
      </c>
      <c r="CW108">
        <v>50</v>
      </c>
      <c r="CX108">
        <v>6.0628143575674596</v>
      </c>
      <c r="CY108">
        <v>4.0267758289143902</v>
      </c>
      <c r="CZ108">
        <v>5.7067901234567904</v>
      </c>
      <c r="DA108">
        <v>8.0786750610005204E-2</v>
      </c>
      <c r="DB108">
        <v>3.9603960396039598E-2</v>
      </c>
      <c r="DC108">
        <v>1.35359087002315</v>
      </c>
      <c r="DD108">
        <v>4.4965315401129304</v>
      </c>
      <c r="DE108">
        <v>993.79629629632404</v>
      </c>
      <c r="DF108">
        <v>5.8908702941624702E-2</v>
      </c>
      <c r="DG108">
        <v>1.34839528472822E-2</v>
      </c>
      <c r="DH108">
        <v>9.5</v>
      </c>
      <c r="DI108">
        <v>104</v>
      </c>
      <c r="DJ108">
        <v>-12.5</v>
      </c>
      <c r="DK108">
        <v>107</v>
      </c>
      <c r="DL108" t="s">
        <v>194</v>
      </c>
      <c r="DM108" t="s">
        <v>194</v>
      </c>
      <c r="DN108" t="s">
        <v>194</v>
      </c>
      <c r="DO108" t="s">
        <v>194</v>
      </c>
      <c r="DP108" t="s">
        <v>194</v>
      </c>
      <c r="DQ108" t="s">
        <v>2090</v>
      </c>
      <c r="DR108" t="s">
        <v>2091</v>
      </c>
      <c r="DS108" t="s">
        <v>2092</v>
      </c>
      <c r="DT108" t="s">
        <v>2093</v>
      </c>
      <c r="DU108" t="s">
        <v>2087</v>
      </c>
      <c r="DV108" t="s">
        <v>2088</v>
      </c>
      <c r="DW108" t="s">
        <v>2094</v>
      </c>
      <c r="DX108">
        <v>2.7763226820324699E-2</v>
      </c>
      <c r="DY108">
        <v>100.83053954950201</v>
      </c>
      <c r="DZ108">
        <v>48.654625219624897</v>
      </c>
      <c r="EA108">
        <v>8.1293203535202299</v>
      </c>
      <c r="EB108">
        <v>2.4471692707713002</v>
      </c>
      <c r="EC108">
        <v>5.2294394971189</v>
      </c>
      <c r="ED108">
        <v>34.946833682693502</v>
      </c>
      <c r="EE108">
        <v>8.1293203535202991</v>
      </c>
      <c r="EF108">
        <v>201.66107909900401</v>
      </c>
      <c r="EG108">
        <v>0</v>
      </c>
      <c r="EH108">
        <v>0</v>
      </c>
      <c r="EI108">
        <v>7.3113187484719396E-3</v>
      </c>
      <c r="EJ108">
        <v>62.293871136720703</v>
      </c>
      <c r="EK108">
        <v>5.2294394971189</v>
      </c>
      <c r="EL108">
        <v>0.33977659762817802</v>
      </c>
      <c r="EM108">
        <v>0.91553842635848104</v>
      </c>
      <c r="EN108">
        <v>0.26543953255722003</v>
      </c>
      <c r="EO108">
        <v>0.97894958578112801</v>
      </c>
      <c r="EP108">
        <v>0</v>
      </c>
      <c r="EQ108">
        <v>0.35983608078852802</v>
      </c>
      <c r="ER108">
        <v>10184.305395494999</v>
      </c>
      <c r="ES108">
        <v>0</v>
      </c>
      <c r="ET108">
        <v>-2495.94477447795</v>
      </c>
      <c r="EU108">
        <v>109846.331282948</v>
      </c>
      <c r="EV108">
        <v>0.95896911187987899</v>
      </c>
      <c r="EW108">
        <v>1.2115247903599999</v>
      </c>
      <c r="EX108" s="2">
        <v>1.04422922203283E-4</v>
      </c>
      <c r="EY108">
        <v>9889.3213146190192</v>
      </c>
      <c r="EZ108" s="2">
        <v>1.00577273989518E-4</v>
      </c>
      <c r="FA108">
        <v>9448.5348668197294</v>
      </c>
      <c r="FB108" s="2">
        <v>1.2417886747100699E-4</v>
      </c>
      <c r="FC108">
        <v>12169.3324132501</v>
      </c>
      <c r="FD108">
        <v>17.272499094492499</v>
      </c>
      <c r="FE108">
        <v>278.51007036864098</v>
      </c>
      <c r="FF108">
        <v>0.94491927825261102</v>
      </c>
      <c r="FG108">
        <v>1.86573708824679E-2</v>
      </c>
      <c r="FH108">
        <v>0.35711469648209399</v>
      </c>
      <c r="FI108">
        <v>1.2191396432403899E-2</v>
      </c>
      <c r="FJ108">
        <v>2621.3320982344999</v>
      </c>
      <c r="FK108">
        <v>17.7396442591028</v>
      </c>
      <c r="FL108">
        <v>0.74866280074223501</v>
      </c>
      <c r="FM108">
        <v>11.7093023255813</v>
      </c>
      <c r="FN108" s="2">
        <v>1.11912370880332E-4</v>
      </c>
      <c r="FO108">
        <v>9295.1569767441797</v>
      </c>
      <c r="FP108" s="2">
        <v>8.7047382264643207E-5</v>
      </c>
      <c r="FQ108">
        <v>6713.4588065693997</v>
      </c>
      <c r="FR108">
        <v>1.0928717997264201E-3</v>
      </c>
      <c r="FS108">
        <v>126599.063953488</v>
      </c>
      <c r="FT108">
        <v>7.2325581395348797</v>
      </c>
      <c r="FU108">
        <v>4.20497566252028E-2</v>
      </c>
      <c r="FV108">
        <v>89.348837209302303</v>
      </c>
      <c r="FW108">
        <v>0.51946998377501297</v>
      </c>
      <c r="FX108">
        <v>0.530864197530864</v>
      </c>
      <c r="FY108">
        <v>78.040663872363396</v>
      </c>
      <c r="FZ108">
        <v>8.1608977825851792</v>
      </c>
      <c r="GA108">
        <v>5.7500600345033304</v>
      </c>
    </row>
    <row r="109" spans="1:183" x14ac:dyDescent="0.2">
      <c r="A109" t="s">
        <v>2533</v>
      </c>
      <c r="B109" t="s">
        <v>182</v>
      </c>
      <c r="C109" t="s">
        <v>2095</v>
      </c>
      <c r="D109" s="1">
        <v>43269</v>
      </c>
      <c r="E109" t="s">
        <v>2096</v>
      </c>
      <c r="F109" t="s">
        <v>185</v>
      </c>
      <c r="G109" t="s">
        <v>186</v>
      </c>
      <c r="H109">
        <v>1</v>
      </c>
      <c r="I109">
        <v>400</v>
      </c>
      <c r="J109">
        <v>10</v>
      </c>
      <c r="K109" t="s">
        <v>187</v>
      </c>
      <c r="L109" t="s">
        <v>2097</v>
      </c>
      <c r="M109">
        <v>3</v>
      </c>
      <c r="N109">
        <v>0.72265625</v>
      </c>
      <c r="O109">
        <v>0.72265625</v>
      </c>
      <c r="P109" t="s">
        <v>2098</v>
      </c>
      <c r="Q109">
        <v>0</v>
      </c>
      <c r="R109" t="s">
        <v>194</v>
      </c>
      <c r="T109">
        <v>15312.4966621398</v>
      </c>
      <c r="U109">
        <v>15400.623321533199</v>
      </c>
      <c r="V109">
        <v>9830</v>
      </c>
      <c r="W109">
        <v>5165.5885533029796</v>
      </c>
      <c r="X109">
        <v>0.33734463211834598</v>
      </c>
      <c r="Y109">
        <v>24.2456431843082</v>
      </c>
      <c r="Z109">
        <v>2.3269730535047099E-2</v>
      </c>
      <c r="AA109">
        <v>0.19239108969615301</v>
      </c>
      <c r="AB109">
        <v>1.7322278438543199</v>
      </c>
      <c r="AC109">
        <v>0.57729126312559997</v>
      </c>
      <c r="AD109">
        <v>0.73222784385432504</v>
      </c>
      <c r="AE109" t="s">
        <v>2099</v>
      </c>
      <c r="AF109" t="s">
        <v>2100</v>
      </c>
      <c r="AG109" t="s">
        <v>2101</v>
      </c>
      <c r="AH109" t="s">
        <v>193</v>
      </c>
      <c r="AI109" t="s">
        <v>193</v>
      </c>
      <c r="AJ109" t="s">
        <v>193</v>
      </c>
      <c r="AK109" t="s">
        <v>193</v>
      </c>
      <c r="AL109" t="s">
        <v>193</v>
      </c>
      <c r="AM109" t="s">
        <v>193</v>
      </c>
      <c r="AN109" t="s">
        <v>193</v>
      </c>
      <c r="AO109" t="s">
        <v>193</v>
      </c>
      <c r="AP109" t="s">
        <v>193</v>
      </c>
      <c r="AQ109">
        <v>0.200216917300442</v>
      </c>
      <c r="AR109" t="s">
        <v>193</v>
      </c>
      <c r="AS109" t="s">
        <v>193</v>
      </c>
      <c r="AT109">
        <v>53.897262894415697</v>
      </c>
      <c r="AU109" t="s">
        <v>193</v>
      </c>
      <c r="AV109">
        <v>9609534.0828051493</v>
      </c>
      <c r="AW109">
        <v>41.561546286876798</v>
      </c>
      <c r="AX109">
        <v>2641.9735772631202</v>
      </c>
      <c r="AY109">
        <v>-3.9892327495821598</v>
      </c>
      <c r="AZ109">
        <v>27.2326449027771</v>
      </c>
      <c r="BA109">
        <v>54</v>
      </c>
      <c r="BB109">
        <v>-586</v>
      </c>
      <c r="BC109">
        <v>-9</v>
      </c>
      <c r="BD109">
        <v>34</v>
      </c>
      <c r="BE109">
        <v>54</v>
      </c>
      <c r="BF109">
        <v>68</v>
      </c>
      <c r="BG109">
        <v>79</v>
      </c>
      <c r="BH109">
        <v>51.400132074374298</v>
      </c>
      <c r="BI109">
        <v>151</v>
      </c>
      <c r="BJ109">
        <v>34</v>
      </c>
      <c r="BK109">
        <v>737</v>
      </c>
      <c r="BL109">
        <v>30.912987315387301</v>
      </c>
      <c r="BM109">
        <v>15.7306105266192</v>
      </c>
      <c r="BN109">
        <v>28.644354018311201</v>
      </c>
      <c r="BO109">
        <v>1.23672328550018</v>
      </c>
      <c r="BP109">
        <v>0.33333333333333298</v>
      </c>
      <c r="BQ109" t="s">
        <v>194</v>
      </c>
      <c r="BR109" s="2">
        <v>42950570</v>
      </c>
      <c r="BS109">
        <v>66.100950878329499</v>
      </c>
      <c r="BT109">
        <v>640.07371902465695</v>
      </c>
      <c r="BU109">
        <v>1765.6665802001901</v>
      </c>
      <c r="BV109">
        <v>0.50604284667968702</v>
      </c>
      <c r="BW109">
        <v>72.7523193359375</v>
      </c>
      <c r="BX109">
        <v>1.0230526123046799</v>
      </c>
      <c r="BY109">
        <v>65.6263427734375</v>
      </c>
      <c r="BZ109">
        <v>59.481327056884702</v>
      </c>
      <c r="CA109" t="s">
        <v>2102</v>
      </c>
      <c r="CB109" t="s">
        <v>2103</v>
      </c>
      <c r="CC109" t="s">
        <v>2104</v>
      </c>
      <c r="CD109" t="s">
        <v>2105</v>
      </c>
      <c r="CE109" t="s">
        <v>2106</v>
      </c>
      <c r="CF109" t="s">
        <v>2107</v>
      </c>
      <c r="CG109" t="s">
        <v>2108</v>
      </c>
      <c r="CH109">
        <v>104.700203458799</v>
      </c>
      <c r="CI109">
        <v>26.5079857164888</v>
      </c>
      <c r="CJ109">
        <v>-3.9743854639710801</v>
      </c>
      <c r="CK109">
        <v>27.1251454742522</v>
      </c>
      <c r="CL109">
        <v>106</v>
      </c>
      <c r="CM109">
        <v>42</v>
      </c>
      <c r="CN109">
        <v>100</v>
      </c>
      <c r="CO109">
        <v>104</v>
      </c>
      <c r="CP109">
        <v>106</v>
      </c>
      <c r="CQ109">
        <v>107</v>
      </c>
      <c r="CR109">
        <v>108</v>
      </c>
      <c r="CS109">
        <v>5.1485906534204799</v>
      </c>
      <c r="CT109">
        <v>116</v>
      </c>
      <c r="CU109">
        <v>107</v>
      </c>
      <c r="CV109">
        <v>3</v>
      </c>
      <c r="CW109">
        <v>74</v>
      </c>
      <c r="CX109">
        <v>3.1024422507135001</v>
      </c>
      <c r="CY109">
        <v>1.60315218088968</v>
      </c>
      <c r="CZ109">
        <v>2.8487283825025398</v>
      </c>
      <c r="DA109">
        <v>4.9174600271397702E-2</v>
      </c>
      <c r="DB109">
        <v>1.42180094786729E-2</v>
      </c>
      <c r="DC109">
        <v>1.12439685433026</v>
      </c>
      <c r="DD109">
        <v>3.73516550020268</v>
      </c>
      <c r="DE109">
        <v>1047.00203458797</v>
      </c>
      <c r="DF109">
        <v>0.108427830597264</v>
      </c>
      <c r="DG109">
        <v>3.3211892640891E-3</v>
      </c>
      <c r="DH109">
        <v>438.5</v>
      </c>
      <c r="DI109">
        <v>105</v>
      </c>
      <c r="DJ109">
        <v>-561.5</v>
      </c>
      <c r="DK109">
        <v>108</v>
      </c>
      <c r="DL109">
        <v>0.50604284667968702</v>
      </c>
      <c r="DM109">
        <v>72.7523193359375</v>
      </c>
      <c r="DN109">
        <v>1.0230526123046799</v>
      </c>
      <c r="DO109">
        <v>65.6263427734375</v>
      </c>
      <c r="DP109">
        <v>59.481327056884702</v>
      </c>
      <c r="DQ109" t="s">
        <v>2109</v>
      </c>
      <c r="DR109" t="s">
        <v>2110</v>
      </c>
      <c r="DS109" t="s">
        <v>2111</v>
      </c>
      <c r="DT109" t="s">
        <v>2112</v>
      </c>
      <c r="DU109" t="s">
        <v>2106</v>
      </c>
      <c r="DV109" t="s">
        <v>2107</v>
      </c>
      <c r="DW109" t="s">
        <v>2113</v>
      </c>
      <c r="DX109">
        <v>4.5219394305565999E-2</v>
      </c>
      <c r="DY109">
        <v>105.261673023185</v>
      </c>
      <c r="DZ109">
        <v>17.936186053799101</v>
      </c>
      <c r="EA109">
        <v>6.8299953806365901</v>
      </c>
      <c r="EB109">
        <v>2.0560334798180202</v>
      </c>
      <c r="EC109">
        <v>2.5443792009666799</v>
      </c>
      <c r="ED109">
        <v>11.733662236389399</v>
      </c>
      <c r="EE109">
        <v>6.8299953806367899</v>
      </c>
      <c r="EF109">
        <v>210.52334604637099</v>
      </c>
      <c r="EG109">
        <v>9.66660767499447</v>
      </c>
      <c r="EH109">
        <v>2.7765175473128199E-2</v>
      </c>
      <c r="EI109">
        <v>1.8360599056840201E-2</v>
      </c>
      <c r="EJ109">
        <v>18.207527754701299</v>
      </c>
      <c r="EK109">
        <v>2.5443792009666799</v>
      </c>
      <c r="EL109">
        <v>0.448685510778079</v>
      </c>
      <c r="EM109">
        <v>0.96879746284270296</v>
      </c>
      <c r="EN109">
        <v>0.37983842114157601</v>
      </c>
      <c r="EO109">
        <v>0.99694951958703004</v>
      </c>
      <c r="EP109" s="2">
        <v>8.4238911696240005E-9</v>
      </c>
      <c r="EQ109">
        <v>0.49243591418798999</v>
      </c>
      <c r="ER109">
        <v>11088.852229816401</v>
      </c>
      <c r="ES109">
        <v>9.66660767499447</v>
      </c>
      <c r="ET109">
        <v>-1579.33513997054</v>
      </c>
      <c r="EU109">
        <v>99084.717647071695</v>
      </c>
      <c r="EV109">
        <v>0.89497359818803601</v>
      </c>
      <c r="EW109">
        <v>1.5734439894940699</v>
      </c>
      <c r="EX109" s="2">
        <v>9.2796774871332799E-5</v>
      </c>
      <c r="EY109">
        <v>10940.7770315737</v>
      </c>
      <c r="EZ109" s="2">
        <v>8.3456792490757895E-5</v>
      </c>
      <c r="FA109">
        <v>9757.0979088060703</v>
      </c>
      <c r="FB109" s="2">
        <v>1.4371908953230301E-4</v>
      </c>
      <c r="FC109">
        <v>17410.8507774338</v>
      </c>
      <c r="FD109">
        <v>843.05927928483698</v>
      </c>
      <c r="FE109">
        <v>6456.1189877608103</v>
      </c>
      <c r="FF109">
        <v>0.85940996948117998</v>
      </c>
      <c r="FG109" s="2">
        <v>7.6453329352195204E-4</v>
      </c>
      <c r="FH109">
        <v>2.6800894596107801E-2</v>
      </c>
      <c r="FI109">
        <v>0.11917164972370101</v>
      </c>
      <c r="FJ109">
        <v>4589.32180336079</v>
      </c>
      <c r="FK109">
        <v>5.5025412410408903</v>
      </c>
      <c r="FL109">
        <v>0.702756700946506</v>
      </c>
      <c r="FM109">
        <v>3518.0403022669998</v>
      </c>
      <c r="FN109" s="2">
        <v>1.02976254951773E-4</v>
      </c>
      <c r="FO109">
        <v>10120.044836272</v>
      </c>
      <c r="FP109" s="2">
        <v>7.4574816046537698E-5</v>
      </c>
      <c r="FQ109">
        <v>6959.0285210780603</v>
      </c>
      <c r="FR109">
        <v>0.30992404864818701</v>
      </c>
      <c r="FS109" s="2">
        <v>39946716.060957097</v>
      </c>
      <c r="FT109">
        <v>93.276070528967196</v>
      </c>
      <c r="FU109">
        <v>4.6990463742552703E-2</v>
      </c>
      <c r="FV109">
        <v>906.41863979848802</v>
      </c>
      <c r="FW109">
        <v>0.45663407546523299</v>
      </c>
      <c r="FX109">
        <v>0.201932858596134</v>
      </c>
      <c r="FY109">
        <v>75.966143050206398</v>
      </c>
      <c r="FZ109">
        <v>3493.51660120932</v>
      </c>
      <c r="GA109">
        <v>6.4538394483929604</v>
      </c>
    </row>
    <row r="110" spans="1:183" x14ac:dyDescent="0.2">
      <c r="A110" t="s">
        <v>2534</v>
      </c>
      <c r="B110" t="s">
        <v>182</v>
      </c>
      <c r="C110" t="s">
        <v>2114</v>
      </c>
      <c r="D110" s="1">
        <v>43193</v>
      </c>
      <c r="E110" t="s">
        <v>2115</v>
      </c>
      <c r="F110" t="s">
        <v>185</v>
      </c>
      <c r="G110" t="s">
        <v>186</v>
      </c>
      <c r="H110">
        <v>1</v>
      </c>
      <c r="I110">
        <v>400</v>
      </c>
      <c r="J110">
        <v>10</v>
      </c>
      <c r="K110" t="s">
        <v>187</v>
      </c>
      <c r="L110" t="s">
        <v>2116</v>
      </c>
      <c r="M110">
        <v>5</v>
      </c>
      <c r="N110">
        <v>0.66796875</v>
      </c>
      <c r="O110">
        <v>0.66796875</v>
      </c>
      <c r="P110" t="s">
        <v>2117</v>
      </c>
      <c r="Q110">
        <v>0</v>
      </c>
      <c r="R110" t="s">
        <v>194</v>
      </c>
      <c r="T110">
        <v>333874.83203887899</v>
      </c>
      <c r="U110">
        <v>334163.73504638602</v>
      </c>
      <c r="V110">
        <v>149788</v>
      </c>
      <c r="W110">
        <v>36345.0826374639</v>
      </c>
      <c r="X110">
        <v>0.108858407851573</v>
      </c>
      <c r="Y110">
        <v>20.7531874322245</v>
      </c>
      <c r="Z110">
        <v>2.7185683422861099E-2</v>
      </c>
      <c r="AA110">
        <v>0.26259276527965097</v>
      </c>
      <c r="AB110">
        <v>1.5616093997187199</v>
      </c>
      <c r="AC110">
        <v>0.64036499791824697</v>
      </c>
      <c r="AD110">
        <v>0.56160939971872803</v>
      </c>
      <c r="AE110" t="s">
        <v>2118</v>
      </c>
      <c r="AF110" t="s">
        <v>2119</v>
      </c>
      <c r="AG110" t="s">
        <v>2120</v>
      </c>
      <c r="AH110" t="s">
        <v>193</v>
      </c>
      <c r="AI110" t="s">
        <v>193</v>
      </c>
      <c r="AJ110" t="s">
        <v>193</v>
      </c>
      <c r="AK110" t="s">
        <v>193</v>
      </c>
      <c r="AL110" t="s">
        <v>193</v>
      </c>
      <c r="AM110" t="s">
        <v>193</v>
      </c>
      <c r="AN110" t="s">
        <v>193</v>
      </c>
      <c r="AO110" t="s">
        <v>193</v>
      </c>
      <c r="AP110" t="s">
        <v>193</v>
      </c>
      <c r="AQ110">
        <v>0.12723093801664401</v>
      </c>
      <c r="AR110" t="s">
        <v>193</v>
      </c>
      <c r="AS110" t="s">
        <v>193</v>
      </c>
      <c r="AT110">
        <v>107.229394885177</v>
      </c>
      <c r="AU110" t="s">
        <v>193</v>
      </c>
      <c r="AV110" s="2">
        <v>206710332.28596699</v>
      </c>
      <c r="AW110">
        <v>28.1252303255268</v>
      </c>
      <c r="AX110">
        <v>525.86063589574803</v>
      </c>
      <c r="AY110">
        <v>-3.7801182276852099E-3</v>
      </c>
      <c r="AZ110">
        <v>24.6263129850878</v>
      </c>
      <c r="BA110">
        <v>27</v>
      </c>
      <c r="BB110">
        <v>-591</v>
      </c>
      <c r="BC110">
        <v>5</v>
      </c>
      <c r="BD110">
        <v>16</v>
      </c>
      <c r="BE110">
        <v>27</v>
      </c>
      <c r="BF110">
        <v>39</v>
      </c>
      <c r="BG110">
        <v>52</v>
      </c>
      <c r="BH110">
        <v>22.931651399228699</v>
      </c>
      <c r="BI110">
        <v>385</v>
      </c>
      <c r="BJ110">
        <v>23</v>
      </c>
      <c r="BK110">
        <v>976</v>
      </c>
      <c r="BL110">
        <v>15.6270664698933</v>
      </c>
      <c r="BM110">
        <v>9.9706208295094392</v>
      </c>
      <c r="BN110">
        <v>15.606924453227199</v>
      </c>
      <c r="BO110">
        <v>0.815340928191995</v>
      </c>
      <c r="BP110">
        <v>0.41818181818181799</v>
      </c>
      <c r="BQ110" t="s">
        <v>194</v>
      </c>
      <c r="BR110" s="2">
        <v>197254202</v>
      </c>
      <c r="BS110">
        <v>36.288968251518</v>
      </c>
      <c r="BT110">
        <v>9398.4320146179507</v>
      </c>
      <c r="BU110">
        <v>189134.425277709</v>
      </c>
      <c r="BV110">
        <v>0.52426416015624999</v>
      </c>
      <c r="BW110">
        <v>63.676597595214801</v>
      </c>
      <c r="BX110">
        <v>1.0507591552734299</v>
      </c>
      <c r="BY110">
        <v>52.687896728515597</v>
      </c>
      <c r="BZ110">
        <v>61.683334350585902</v>
      </c>
      <c r="CA110" t="s">
        <v>2121</v>
      </c>
      <c r="CB110" t="s">
        <v>2122</v>
      </c>
      <c r="CC110" t="s">
        <v>2123</v>
      </c>
      <c r="CD110" t="s">
        <v>2124</v>
      </c>
      <c r="CE110" t="s">
        <v>2125</v>
      </c>
      <c r="CF110" t="s">
        <v>2126</v>
      </c>
      <c r="CG110" t="s">
        <v>2127</v>
      </c>
      <c r="CH110">
        <v>103.361223863059</v>
      </c>
      <c r="CI110">
        <v>5.3430866320493999</v>
      </c>
      <c r="CJ110">
        <v>6.3437734866111902E-3</v>
      </c>
      <c r="CK110">
        <v>23.818922110432599</v>
      </c>
      <c r="CL110">
        <v>103</v>
      </c>
      <c r="CM110">
        <v>41</v>
      </c>
      <c r="CN110">
        <v>101</v>
      </c>
      <c r="CO110">
        <v>102</v>
      </c>
      <c r="CP110">
        <v>103</v>
      </c>
      <c r="CQ110">
        <v>104</v>
      </c>
      <c r="CR110">
        <v>106</v>
      </c>
      <c r="CS110">
        <v>2.3115117633378799</v>
      </c>
      <c r="CT110">
        <v>139</v>
      </c>
      <c r="CU110">
        <v>103</v>
      </c>
      <c r="CV110">
        <v>2</v>
      </c>
      <c r="CW110">
        <v>98</v>
      </c>
      <c r="CX110">
        <v>1.5977792427220301</v>
      </c>
      <c r="CY110">
        <v>1.15893100769071</v>
      </c>
      <c r="CZ110">
        <v>1.55876972788207</v>
      </c>
      <c r="DA110">
        <v>2.2363432600220799E-2</v>
      </c>
      <c r="DB110">
        <v>9.7087378640776604E-3</v>
      </c>
      <c r="DC110">
        <v>0.92223973695126205</v>
      </c>
      <c r="DD110">
        <v>3.06361409239992</v>
      </c>
      <c r="DE110">
        <v>1033.6122386306199</v>
      </c>
      <c r="DF110">
        <v>0.15459319293485299</v>
      </c>
      <c r="DG110">
        <v>1.0159133620744501E-3</v>
      </c>
      <c r="DH110">
        <v>10740</v>
      </c>
      <c r="DI110">
        <v>101</v>
      </c>
      <c r="DJ110">
        <v>-10757</v>
      </c>
      <c r="DK110">
        <v>105</v>
      </c>
      <c r="DL110">
        <v>0.52426416015624999</v>
      </c>
      <c r="DM110">
        <v>63.676597595214801</v>
      </c>
      <c r="DN110">
        <v>1.0507591552734299</v>
      </c>
      <c r="DO110">
        <v>52.687896728515597</v>
      </c>
      <c r="DP110">
        <v>61.683334350585902</v>
      </c>
      <c r="DQ110" t="s">
        <v>2128</v>
      </c>
      <c r="DR110" t="s">
        <v>2129</v>
      </c>
      <c r="DS110" t="s">
        <v>2130</v>
      </c>
      <c r="DT110" t="s">
        <v>2131</v>
      </c>
      <c r="DU110" t="s">
        <v>2125</v>
      </c>
      <c r="DV110" t="s">
        <v>2126</v>
      </c>
      <c r="DW110" t="s">
        <v>2132</v>
      </c>
      <c r="DX110">
        <v>6.5255402875944099E-2</v>
      </c>
      <c r="DY110">
        <v>103.312194916096</v>
      </c>
      <c r="DZ110">
        <v>4.2773371455636102</v>
      </c>
      <c r="EA110">
        <v>5.7598570963809399</v>
      </c>
      <c r="EB110">
        <v>1.7338897567486999</v>
      </c>
      <c r="EC110">
        <v>1.55330302692095</v>
      </c>
      <c r="ED110">
        <v>2.5230148823914802</v>
      </c>
      <c r="EE110">
        <v>5.7598570963809896</v>
      </c>
      <c r="EF110">
        <v>206.624389832193</v>
      </c>
      <c r="EG110">
        <v>1.6143473469238001</v>
      </c>
      <c r="EH110">
        <v>0.121330849388871</v>
      </c>
      <c r="EI110">
        <v>3.0065360864775199E-2</v>
      </c>
      <c r="EJ110">
        <v>4.9357651758332803</v>
      </c>
      <c r="EK110">
        <v>1.55330302692095</v>
      </c>
      <c r="EL110">
        <v>0.52235151103591404</v>
      </c>
      <c r="EM110">
        <v>0.98478587341301205</v>
      </c>
      <c r="EN110">
        <v>0.46682972210360502</v>
      </c>
      <c r="EO110">
        <v>0.99950042928749605</v>
      </c>
      <c r="EP110" s="2">
        <v>5.2180222755127801E-10</v>
      </c>
      <c r="EQ110">
        <v>0.42303295159319498</v>
      </c>
      <c r="ER110">
        <v>10675.2190729391</v>
      </c>
      <c r="ES110">
        <v>1.6143473469238001</v>
      </c>
      <c r="ET110">
        <v>12.4964258876911</v>
      </c>
      <c r="EU110">
        <v>2591.3677821605502</v>
      </c>
      <c r="EV110">
        <v>0.84152788070228501</v>
      </c>
      <c r="EW110">
        <v>1.98731410816847</v>
      </c>
      <c r="EX110" s="2">
        <v>9.3715446719188597E-5</v>
      </c>
      <c r="EY110">
        <v>10695.9109323717</v>
      </c>
      <c r="EZ110" s="2">
        <v>7.8841437176839204E-5</v>
      </c>
      <c r="FA110">
        <v>9005.9052568606894</v>
      </c>
      <c r="FB110" s="2">
        <v>1.86402231149444E-4</v>
      </c>
      <c r="FC110">
        <v>21221.7131337963</v>
      </c>
      <c r="FD110">
        <v>17166.343843074501</v>
      </c>
      <c r="FE110">
        <v>79658.765780127695</v>
      </c>
      <c r="FF110">
        <v>0.79279792362949897</v>
      </c>
      <c r="FG110" s="2">
        <v>5.1706682151400297E-5</v>
      </c>
      <c r="FH110">
        <v>2.5554127719608901E-3</v>
      </c>
      <c r="FI110">
        <v>1.4928799028988899</v>
      </c>
      <c r="FJ110">
        <v>2888.0620668449301</v>
      </c>
      <c r="FK110">
        <v>0.452567254663088</v>
      </c>
      <c r="FL110">
        <v>0.58988984794047095</v>
      </c>
      <c r="FM110">
        <v>251739.51355565101</v>
      </c>
      <c r="FN110" s="2">
        <v>9.3418723004847702E-5</v>
      </c>
      <c r="FO110">
        <v>10831.383715894301</v>
      </c>
      <c r="FP110" s="2">
        <v>5.5204554685296699E-5</v>
      </c>
      <c r="FQ110">
        <v>6402.5043947425702</v>
      </c>
      <c r="FR110">
        <v>23.650790316486301</v>
      </c>
      <c r="FS110" s="2">
        <v>2680388874.1201301</v>
      </c>
      <c r="FT110">
        <v>849.92403637938503</v>
      </c>
      <c r="FU110">
        <v>7.3618366078768704E-2</v>
      </c>
      <c r="FV110">
        <v>3763.04019055868</v>
      </c>
      <c r="FW110">
        <v>0.32594544742820902</v>
      </c>
      <c r="FX110">
        <v>7.7075600181589904E-2</v>
      </c>
      <c r="FY110">
        <v>29.3059543942855</v>
      </c>
      <c r="FZ110">
        <v>251571.181754833</v>
      </c>
      <c r="GA110">
        <v>6.58247884007113</v>
      </c>
    </row>
    <row r="111" spans="1:183" x14ac:dyDescent="0.2">
      <c r="A111" t="s">
        <v>2535</v>
      </c>
      <c r="B111" t="s">
        <v>182</v>
      </c>
      <c r="C111" t="s">
        <v>2133</v>
      </c>
      <c r="D111" s="1">
        <v>43203</v>
      </c>
      <c r="E111" t="s">
        <v>1160</v>
      </c>
      <c r="F111" t="s">
        <v>185</v>
      </c>
      <c r="G111" t="s">
        <v>186</v>
      </c>
      <c r="H111">
        <v>1</v>
      </c>
      <c r="I111">
        <v>400</v>
      </c>
      <c r="J111">
        <v>10</v>
      </c>
      <c r="K111" t="s">
        <v>187</v>
      </c>
      <c r="L111" t="s">
        <v>2134</v>
      </c>
      <c r="M111">
        <v>1.5</v>
      </c>
      <c r="N111">
        <v>0.724609375</v>
      </c>
      <c r="O111">
        <v>0.724609375</v>
      </c>
      <c r="P111" t="s">
        <v>2135</v>
      </c>
      <c r="Q111">
        <v>0</v>
      </c>
      <c r="R111" t="s">
        <v>194</v>
      </c>
      <c r="T111">
        <v>21411.1080875396</v>
      </c>
      <c r="U111">
        <v>21473.590078353802</v>
      </c>
      <c r="V111">
        <v>27265</v>
      </c>
      <c r="W111">
        <v>7321.3790760198499</v>
      </c>
      <c r="X111">
        <v>0.34194302537198301</v>
      </c>
      <c r="Y111">
        <v>29.258374649740301</v>
      </c>
      <c r="Z111">
        <v>1.9283011797538899E-2</v>
      </c>
      <c r="AA111">
        <v>0.132114954664144</v>
      </c>
      <c r="AB111">
        <v>1.96343264106676</v>
      </c>
      <c r="AC111">
        <v>0.509312099169689</v>
      </c>
      <c r="AD111">
        <v>0.96343264106675996</v>
      </c>
      <c r="AE111" t="s">
        <v>2136</v>
      </c>
      <c r="AF111" t="s">
        <v>2137</v>
      </c>
      <c r="AG111" t="s">
        <v>2138</v>
      </c>
      <c r="AH111" t="s">
        <v>193</v>
      </c>
      <c r="AI111" t="s">
        <v>193</v>
      </c>
      <c r="AJ111" t="s">
        <v>193</v>
      </c>
      <c r="AK111" t="s">
        <v>193</v>
      </c>
      <c r="AL111" t="s">
        <v>193</v>
      </c>
      <c r="AM111" t="s">
        <v>193</v>
      </c>
      <c r="AN111" t="s">
        <v>193</v>
      </c>
      <c r="AO111" t="s">
        <v>193</v>
      </c>
      <c r="AP111" t="s">
        <v>193</v>
      </c>
      <c r="AQ111">
        <v>0.342500791266516</v>
      </c>
      <c r="AR111" t="s">
        <v>193</v>
      </c>
      <c r="AS111" t="s">
        <v>193</v>
      </c>
      <c r="AT111">
        <v>59.201162886152403</v>
      </c>
      <c r="AU111" t="s">
        <v>193</v>
      </c>
      <c r="AV111" s="2">
        <v>16449843.7589052</v>
      </c>
      <c r="AW111">
        <v>35.285494223363202</v>
      </c>
      <c r="AX111">
        <v>3285.00479416706</v>
      </c>
      <c r="AY111">
        <v>-1.6593386069404199</v>
      </c>
      <c r="AZ111">
        <v>18.547692158536801</v>
      </c>
      <c r="BA111">
        <v>35</v>
      </c>
      <c r="BB111">
        <v>-733</v>
      </c>
      <c r="BC111">
        <v>-17</v>
      </c>
      <c r="BD111">
        <v>10</v>
      </c>
      <c r="BE111">
        <v>35</v>
      </c>
      <c r="BF111">
        <v>63</v>
      </c>
      <c r="BG111">
        <v>95</v>
      </c>
      <c r="BH111">
        <v>57.314961346642001</v>
      </c>
      <c r="BI111">
        <v>828</v>
      </c>
      <c r="BJ111">
        <v>53</v>
      </c>
      <c r="BK111">
        <v>1561</v>
      </c>
      <c r="BL111">
        <v>37.637954022787802</v>
      </c>
      <c r="BM111">
        <v>22.784669738349201</v>
      </c>
      <c r="BN111">
        <v>37.636016871446898</v>
      </c>
      <c r="BO111">
        <v>1.6243207756657301</v>
      </c>
      <c r="BP111">
        <v>0.72602739726027399</v>
      </c>
      <c r="BQ111" t="s">
        <v>194</v>
      </c>
      <c r="BR111" s="2">
        <v>123512383</v>
      </c>
      <c r="BS111">
        <v>67.305801360314206</v>
      </c>
      <c r="BT111">
        <v>757.70623866462597</v>
      </c>
      <c r="BU111">
        <v>14213.865322113001</v>
      </c>
      <c r="BV111">
        <v>0.50326879882812503</v>
      </c>
      <c r="BW111">
        <v>92.397499084472599</v>
      </c>
      <c r="BX111">
        <v>1.0025996704101501</v>
      </c>
      <c r="BY111">
        <v>81.553810119628906</v>
      </c>
      <c r="BZ111">
        <v>-5.6837062835693297</v>
      </c>
      <c r="CA111" t="s">
        <v>2139</v>
      </c>
      <c r="CB111" t="s">
        <v>2140</v>
      </c>
      <c r="CC111" t="s">
        <v>2141</v>
      </c>
      <c r="CD111" t="s">
        <v>2142</v>
      </c>
      <c r="CE111" t="s">
        <v>2143</v>
      </c>
      <c r="CF111" t="s">
        <v>2144</v>
      </c>
      <c r="CG111" t="s">
        <v>2145</v>
      </c>
      <c r="CH111">
        <v>104.07643498991401</v>
      </c>
      <c r="CI111">
        <v>32.953409480323202</v>
      </c>
      <c r="CJ111">
        <v>-1.6557057874401</v>
      </c>
      <c r="CK111">
        <v>18.456241450273701</v>
      </c>
      <c r="CL111">
        <v>104</v>
      </c>
      <c r="CM111">
        <v>27</v>
      </c>
      <c r="CN111">
        <v>99</v>
      </c>
      <c r="CO111">
        <v>102</v>
      </c>
      <c r="CP111">
        <v>104</v>
      </c>
      <c r="CQ111">
        <v>107</v>
      </c>
      <c r="CR111">
        <v>110</v>
      </c>
      <c r="CS111">
        <v>5.7405060299875297</v>
      </c>
      <c r="CT111">
        <v>183</v>
      </c>
      <c r="CU111">
        <v>104</v>
      </c>
      <c r="CV111">
        <v>5</v>
      </c>
      <c r="CW111">
        <v>156</v>
      </c>
      <c r="CX111">
        <v>3.7635546224004801</v>
      </c>
      <c r="CY111">
        <v>2.37937624515052</v>
      </c>
      <c r="CZ111">
        <v>3.7565376856775998</v>
      </c>
      <c r="DA111">
        <v>5.5156635894992402E-2</v>
      </c>
      <c r="DB111">
        <v>2.3923444976076499E-2</v>
      </c>
      <c r="DC111">
        <v>1.2990616624312801</v>
      </c>
      <c r="DD111">
        <v>4.3153894334215801</v>
      </c>
      <c r="DE111">
        <v>1040.7643498991399</v>
      </c>
      <c r="DF111">
        <v>6.6486405392341505E-2</v>
      </c>
      <c r="DG111">
        <v>1.56157797756741E-3</v>
      </c>
      <c r="DH111">
        <v>538</v>
      </c>
      <c r="DI111">
        <v>101</v>
      </c>
      <c r="DJ111">
        <v>-508.5</v>
      </c>
      <c r="DK111">
        <v>106</v>
      </c>
      <c r="DL111">
        <v>0.50326879882812503</v>
      </c>
      <c r="DM111">
        <v>92.397499084472599</v>
      </c>
      <c r="DN111">
        <v>1.0025996704101501</v>
      </c>
      <c r="DO111">
        <v>81.553810119628906</v>
      </c>
      <c r="DP111">
        <v>-5.6837062835693297</v>
      </c>
      <c r="DQ111" t="s">
        <v>2146</v>
      </c>
      <c r="DR111" t="s">
        <v>2147</v>
      </c>
      <c r="DS111" t="s">
        <v>2148</v>
      </c>
      <c r="DT111" t="s">
        <v>2149</v>
      </c>
      <c r="DU111" t="s">
        <v>2143</v>
      </c>
      <c r="DV111" t="s">
        <v>2144</v>
      </c>
      <c r="DW111" t="s">
        <v>2150</v>
      </c>
      <c r="DX111">
        <v>2.1402254357932301E-2</v>
      </c>
      <c r="DY111">
        <v>104.294497206164</v>
      </c>
      <c r="DZ111">
        <v>24.013929827541102</v>
      </c>
      <c r="EA111">
        <v>7.7680531164471001</v>
      </c>
      <c r="EB111">
        <v>2.3384169959616301</v>
      </c>
      <c r="EC111">
        <v>2.5117122446486202</v>
      </c>
      <c r="ED111">
        <v>9.4005241488053901</v>
      </c>
      <c r="EE111">
        <v>7.7680531164469899</v>
      </c>
      <c r="EF111">
        <v>208.58899441232899</v>
      </c>
      <c r="EG111">
        <v>80.141778880001496</v>
      </c>
      <c r="EH111">
        <v>7.7678056032511504</v>
      </c>
      <c r="EI111">
        <v>8.1657711095947799E-3</v>
      </c>
      <c r="EJ111">
        <v>15.7092225487233</v>
      </c>
      <c r="EK111">
        <v>2.5117122446486202</v>
      </c>
      <c r="EL111">
        <v>0.433320904283584</v>
      </c>
      <c r="EM111">
        <v>0.98458636620416196</v>
      </c>
      <c r="EN111">
        <v>0.35866925806355299</v>
      </c>
      <c r="EO111">
        <v>0.99937344349066404</v>
      </c>
      <c r="EP111" s="2">
        <v>1.8866706292463799E-7</v>
      </c>
      <c r="EQ111">
        <v>0.67291437383341901</v>
      </c>
      <c r="ER111">
        <v>10893.501466039899</v>
      </c>
      <c r="ES111">
        <v>80.141778880001496</v>
      </c>
      <c r="ET111">
        <v>-530.77628138389798</v>
      </c>
      <c r="EU111">
        <v>79310.719571772395</v>
      </c>
      <c r="EV111">
        <v>0.89659128453734804</v>
      </c>
      <c r="EW111">
        <v>1.5459662326200601</v>
      </c>
      <c r="EX111" s="2">
        <v>9.3683917610863206E-5</v>
      </c>
      <c r="EY111">
        <v>10858.526408584599</v>
      </c>
      <c r="EZ111" s="2">
        <v>8.4151461774004899E-5</v>
      </c>
      <c r="FA111">
        <v>9730.7775866600496</v>
      </c>
      <c r="FB111" s="2">
        <v>1.44005367773641E-4</v>
      </c>
      <c r="FC111">
        <v>16811.5137281961</v>
      </c>
      <c r="FD111">
        <v>1507.6074951822</v>
      </c>
      <c r="FE111">
        <v>18074.460842864399</v>
      </c>
      <c r="FF111">
        <v>0.86359801943884096</v>
      </c>
      <c r="FG111" s="2">
        <v>4.1441683791264202E-4</v>
      </c>
      <c r="FH111">
        <v>1.22276612720438E-2</v>
      </c>
      <c r="FI111">
        <v>0.13913748423792699</v>
      </c>
      <c r="FJ111">
        <v>9072.8680074392196</v>
      </c>
      <c r="FK111">
        <v>5.0587221753286897</v>
      </c>
      <c r="FL111">
        <v>0.67181575169846397</v>
      </c>
      <c r="FM111">
        <v>3853.3694570625098</v>
      </c>
      <c r="FN111" s="2">
        <v>9.9734340171367506E-5</v>
      </c>
      <c r="FO111">
        <v>10627.439757733</v>
      </c>
      <c r="FP111" s="2">
        <v>6.9155957235761398E-5</v>
      </c>
      <c r="FQ111">
        <v>7046.1145640332097</v>
      </c>
      <c r="FR111">
        <v>0.35795656355528299</v>
      </c>
      <c r="FS111" s="2">
        <v>41545492.867834702</v>
      </c>
      <c r="FT111">
        <v>166.39952411853699</v>
      </c>
      <c r="FU111">
        <v>3.5993840389041201E-2</v>
      </c>
      <c r="FV111">
        <v>1928.1083711875399</v>
      </c>
      <c r="FW111">
        <v>0.41706865048400099</v>
      </c>
      <c r="FX111">
        <v>0.169558041445076</v>
      </c>
      <c r="FY111">
        <v>109.72383640394401</v>
      </c>
      <c r="FZ111">
        <v>3818.5867629752702</v>
      </c>
      <c r="GA111">
        <v>7.1509395837951599</v>
      </c>
    </row>
    <row r="112" spans="1:183" x14ac:dyDescent="0.2">
      <c r="A112" t="s">
        <v>2536</v>
      </c>
      <c r="B112" t="s">
        <v>182</v>
      </c>
      <c r="C112" t="s">
        <v>2151</v>
      </c>
      <c r="D112" s="1">
        <v>43794</v>
      </c>
      <c r="E112" t="s">
        <v>362</v>
      </c>
      <c r="F112" t="s">
        <v>185</v>
      </c>
      <c r="G112" t="s">
        <v>186</v>
      </c>
      <c r="H112">
        <v>1</v>
      </c>
      <c r="I112">
        <v>400</v>
      </c>
      <c r="J112">
        <v>10</v>
      </c>
      <c r="K112" t="s">
        <v>187</v>
      </c>
      <c r="L112" t="s">
        <v>2152</v>
      </c>
      <c r="M112">
        <v>2</v>
      </c>
      <c r="N112">
        <v>0.673828125</v>
      </c>
      <c r="O112">
        <v>0.673828125</v>
      </c>
      <c r="P112" t="s">
        <v>2153</v>
      </c>
      <c r="Q112">
        <v>0</v>
      </c>
      <c r="R112" t="s">
        <v>194</v>
      </c>
      <c r="T112">
        <v>2915.1916980743399</v>
      </c>
      <c r="U112">
        <v>2953.1044006347602</v>
      </c>
      <c r="V112">
        <v>3252</v>
      </c>
      <c r="W112">
        <v>2899.45407189552</v>
      </c>
      <c r="X112">
        <v>0.99460151241882</v>
      </c>
      <c r="Y112">
        <v>53.555888929455698</v>
      </c>
      <c r="Z112">
        <v>1.0534594697716801E-2</v>
      </c>
      <c r="AA112">
        <v>3.9431010696922703E-2</v>
      </c>
      <c r="AB112">
        <v>2.9380151458963502</v>
      </c>
      <c r="AC112">
        <v>0.34036584236018702</v>
      </c>
      <c r="AD112">
        <v>1.9380151458963399</v>
      </c>
      <c r="AE112" t="s">
        <v>2154</v>
      </c>
      <c r="AF112" t="s">
        <v>2155</v>
      </c>
      <c r="AG112" t="s">
        <v>2156</v>
      </c>
      <c r="AH112" t="s">
        <v>193</v>
      </c>
      <c r="AI112" t="s">
        <v>193</v>
      </c>
      <c r="AJ112" t="s">
        <v>193</v>
      </c>
      <c r="AK112" t="s">
        <v>193</v>
      </c>
      <c r="AL112" t="s">
        <v>193</v>
      </c>
      <c r="AM112" t="s">
        <v>193</v>
      </c>
      <c r="AN112" t="s">
        <v>193</v>
      </c>
      <c r="AO112" t="s">
        <v>193</v>
      </c>
      <c r="AP112" t="s">
        <v>193</v>
      </c>
      <c r="AQ112">
        <v>8.2348234941186205E-2</v>
      </c>
      <c r="AR112" t="s">
        <v>193</v>
      </c>
      <c r="AS112" t="s">
        <v>193</v>
      </c>
      <c r="AT112">
        <v>37.529786982674999</v>
      </c>
      <c r="AU112" t="s">
        <v>193</v>
      </c>
      <c r="AV112">
        <v>1528152.99029293</v>
      </c>
      <c r="AW112">
        <v>11.2032595325953</v>
      </c>
      <c r="AX112">
        <v>5110.4399278748497</v>
      </c>
      <c r="AY112">
        <v>-2.28464088931455</v>
      </c>
      <c r="AZ112">
        <v>8.2193762976231106</v>
      </c>
      <c r="BA112">
        <v>27</v>
      </c>
      <c r="BB112">
        <v>-513</v>
      </c>
      <c r="BC112">
        <v>-67</v>
      </c>
      <c r="BD112">
        <v>-6</v>
      </c>
      <c r="BE112">
        <v>27</v>
      </c>
      <c r="BF112">
        <v>51</v>
      </c>
      <c r="BG112">
        <v>74</v>
      </c>
      <c r="BH112">
        <v>71.487341032345299</v>
      </c>
      <c r="BI112">
        <v>202</v>
      </c>
      <c r="BJ112">
        <v>57</v>
      </c>
      <c r="BK112">
        <v>715</v>
      </c>
      <c r="BL112">
        <v>47.632091671469396</v>
      </c>
      <c r="BM112">
        <v>26.034067876196499</v>
      </c>
      <c r="BN112">
        <v>45.2647601476014</v>
      </c>
      <c r="BO112">
        <v>6.38094126306334</v>
      </c>
      <c r="BP112">
        <v>1.2666666666666599</v>
      </c>
      <c r="BQ112" t="s">
        <v>194</v>
      </c>
      <c r="BR112" s="2">
        <v>17027319</v>
      </c>
      <c r="BS112">
        <v>72.359884964181006</v>
      </c>
      <c r="BT112">
        <v>33.084395027160603</v>
      </c>
      <c r="BU112">
        <v>4081.85863494873</v>
      </c>
      <c r="BV112">
        <v>0.50580538940429598</v>
      </c>
      <c r="BW112" t="s">
        <v>194</v>
      </c>
      <c r="BX112">
        <v>1.04157775878906</v>
      </c>
      <c r="BY112" t="s">
        <v>194</v>
      </c>
      <c r="BZ112">
        <v>26.085714340209901</v>
      </c>
      <c r="CA112" t="s">
        <v>2157</v>
      </c>
      <c r="CB112" t="s">
        <v>2158</v>
      </c>
      <c r="CC112" t="s">
        <v>2159</v>
      </c>
      <c r="CD112" t="s">
        <v>2160</v>
      </c>
      <c r="CE112" t="s">
        <v>2161</v>
      </c>
      <c r="CF112" t="s">
        <v>2162</v>
      </c>
      <c r="CG112" t="s">
        <v>2163</v>
      </c>
      <c r="CH112">
        <v>101.66297662976601</v>
      </c>
      <c r="CI112">
        <v>51.169318076944698</v>
      </c>
      <c r="CJ112">
        <v>-2.2851274985785901</v>
      </c>
      <c r="CK112">
        <v>8.2390649165961101</v>
      </c>
      <c r="CL112">
        <v>103</v>
      </c>
      <c r="CM112">
        <v>49</v>
      </c>
      <c r="CN112">
        <v>94</v>
      </c>
      <c r="CO112">
        <v>100</v>
      </c>
      <c r="CP112">
        <v>103</v>
      </c>
      <c r="CQ112">
        <v>106</v>
      </c>
      <c r="CR112">
        <v>108</v>
      </c>
      <c r="CS112">
        <v>7.1532732421559801</v>
      </c>
      <c r="CT112">
        <v>121</v>
      </c>
      <c r="CU112">
        <v>104</v>
      </c>
      <c r="CV112">
        <v>6</v>
      </c>
      <c r="CW112">
        <v>72</v>
      </c>
      <c r="CX112">
        <v>4.7672545913650497</v>
      </c>
      <c r="CY112">
        <v>2.6923133348391501</v>
      </c>
      <c r="CZ112">
        <v>4.5166051660516597</v>
      </c>
      <c r="DA112">
        <v>7.0362618519488995E-2</v>
      </c>
      <c r="DB112">
        <v>2.9126213592233E-2</v>
      </c>
      <c r="DC112">
        <v>1.34496877446178</v>
      </c>
      <c r="DD112">
        <v>4.4678895586308203</v>
      </c>
      <c r="DE112">
        <v>1016.62976629768</v>
      </c>
      <c r="DF112">
        <v>6.30439929860553E-2</v>
      </c>
      <c r="DG112">
        <v>4.4029787309762302E-3</v>
      </c>
      <c r="DH112">
        <v>73.5</v>
      </c>
      <c r="DI112">
        <v>101</v>
      </c>
      <c r="DJ112">
        <v>-59</v>
      </c>
      <c r="DK112">
        <v>105</v>
      </c>
      <c r="DL112">
        <v>0.50580538940429598</v>
      </c>
      <c r="DM112" t="s">
        <v>194</v>
      </c>
      <c r="DN112">
        <v>1.04157775878906</v>
      </c>
      <c r="DO112" t="s">
        <v>194</v>
      </c>
      <c r="DP112">
        <v>26.085714340209901</v>
      </c>
      <c r="DQ112" t="s">
        <v>2164</v>
      </c>
      <c r="DR112" t="s">
        <v>2165</v>
      </c>
      <c r="DS112" t="s">
        <v>2166</v>
      </c>
      <c r="DT112" t="s">
        <v>2167</v>
      </c>
      <c r="DU112" t="s">
        <v>2161</v>
      </c>
      <c r="DV112" t="s">
        <v>2162</v>
      </c>
      <c r="DW112" t="s">
        <v>2168</v>
      </c>
      <c r="DX112">
        <v>1.8752092867507501E-2</v>
      </c>
      <c r="DY112">
        <v>102.389291959668</v>
      </c>
      <c r="DZ112">
        <v>40.858348708040097</v>
      </c>
      <c r="EA112">
        <v>8.5045529662556696</v>
      </c>
      <c r="EB112">
        <v>2.5601255425560301</v>
      </c>
      <c r="EC112">
        <v>4.7639245451501298</v>
      </c>
      <c r="ED112">
        <v>31.094657187892</v>
      </c>
      <c r="EE112">
        <v>8.5045529662554795</v>
      </c>
      <c r="EF112">
        <v>204.778583919336</v>
      </c>
      <c r="EG112">
        <v>7.8973986269626799</v>
      </c>
      <c r="EH112">
        <v>2.59751386766266E-2</v>
      </c>
      <c r="EI112">
        <v>5.6672567619829202E-3</v>
      </c>
      <c r="EJ112">
        <v>53.789634259776101</v>
      </c>
      <c r="EK112">
        <v>4.7639245451501298</v>
      </c>
      <c r="EL112">
        <v>0.33391608763473402</v>
      </c>
      <c r="EM112">
        <v>0.94289146004787305</v>
      </c>
      <c r="EN112">
        <v>0.25089133370147898</v>
      </c>
      <c r="EO112">
        <v>0.99065788498636598</v>
      </c>
      <c r="EP112" s="2">
        <v>1.1864328274004E-8</v>
      </c>
      <c r="EQ112">
        <v>0.34175467241544</v>
      </c>
      <c r="ER112">
        <v>10497.5306395803</v>
      </c>
      <c r="ES112">
        <v>7.8973986269626799</v>
      </c>
      <c r="ET112">
        <v>-2159.8386424915798</v>
      </c>
      <c r="EU112">
        <v>116743.125894262</v>
      </c>
      <c r="EV112">
        <v>0.95129183380985205</v>
      </c>
      <c r="EW112">
        <v>1.23116275419758</v>
      </c>
      <c r="EX112" s="2">
        <v>9.9158329311162298E-5</v>
      </c>
      <c r="EY112">
        <v>10355.208089425199</v>
      </c>
      <c r="EZ112" s="2">
        <v>9.4639441646813697E-5</v>
      </c>
      <c r="FA112">
        <v>9827.8395072029798</v>
      </c>
      <c r="FB112" s="2">
        <v>1.20598930697572E-4</v>
      </c>
      <c r="FC112">
        <v>12857.664665427401</v>
      </c>
      <c r="FD112">
        <v>184.56353977515801</v>
      </c>
      <c r="FE112">
        <v>2679.9137557162899</v>
      </c>
      <c r="FF112">
        <v>0.934265304191503</v>
      </c>
      <c r="FG112">
        <v>2.2498603972376401E-3</v>
      </c>
      <c r="FH112">
        <v>8.4582240909513995E-2</v>
      </c>
      <c r="FI112">
        <v>4.4227019101578599E-2</v>
      </c>
      <c r="FJ112">
        <v>7146.8591108135497</v>
      </c>
      <c r="FK112">
        <v>7.4237568583086899</v>
      </c>
      <c r="FL112">
        <v>0.73839622395301496</v>
      </c>
      <c r="FM112">
        <v>22.5175202156334</v>
      </c>
      <c r="FN112" s="2">
        <v>1.05506566518687E-4</v>
      </c>
      <c r="FO112">
        <v>9887.4090296495906</v>
      </c>
      <c r="FP112" s="2">
        <v>8.0603415840955597E-5</v>
      </c>
      <c r="FQ112">
        <v>7107.4721732155003</v>
      </c>
      <c r="FR112">
        <v>2.0923112583101002E-3</v>
      </c>
      <c r="FS112">
        <v>243364.95417789699</v>
      </c>
      <c r="FT112">
        <v>61.2035040431266</v>
      </c>
      <c r="FU112">
        <v>4.1242253398333303E-2</v>
      </c>
      <c r="FV112">
        <v>750.22237196765502</v>
      </c>
      <c r="FW112">
        <v>0.505540681918905</v>
      </c>
      <c r="FX112">
        <v>0.45633456334563299</v>
      </c>
      <c r="FY112">
        <v>83.073166334885599</v>
      </c>
      <c r="FZ112">
        <v>17.715397301675999</v>
      </c>
      <c r="GA112">
        <v>6.4295786324131798</v>
      </c>
    </row>
    <row r="113" spans="1:183" x14ac:dyDescent="0.2">
      <c r="A113" t="s">
        <v>2537</v>
      </c>
      <c r="B113" t="s">
        <v>182</v>
      </c>
      <c r="C113" t="s">
        <v>2169</v>
      </c>
      <c r="D113" s="1">
        <v>44669</v>
      </c>
      <c r="E113" t="s">
        <v>2170</v>
      </c>
      <c r="F113" t="s">
        <v>185</v>
      </c>
      <c r="G113" t="s">
        <v>186</v>
      </c>
      <c r="H113">
        <v>1</v>
      </c>
      <c r="I113">
        <v>400</v>
      </c>
      <c r="J113">
        <v>10</v>
      </c>
      <c r="K113" t="s">
        <v>187</v>
      </c>
      <c r="L113" t="s">
        <v>2171</v>
      </c>
      <c r="M113">
        <v>2</v>
      </c>
      <c r="N113">
        <v>0.625</v>
      </c>
      <c r="O113">
        <v>0.625</v>
      </c>
      <c r="P113" t="s">
        <v>2172</v>
      </c>
      <c r="Q113">
        <v>0</v>
      </c>
      <c r="R113" t="s">
        <v>194</v>
      </c>
      <c r="T113">
        <v>41800.651041666599</v>
      </c>
      <c r="U113">
        <v>41878.90625</v>
      </c>
      <c r="V113">
        <v>53605</v>
      </c>
      <c r="W113">
        <v>14530.6045736997</v>
      </c>
      <c r="X113">
        <v>0.34761670480241302</v>
      </c>
      <c r="Y113">
        <v>41.9027456312608</v>
      </c>
      <c r="Z113">
        <v>1.34642629032607E-2</v>
      </c>
      <c r="AA113">
        <v>6.4412093151716407E-2</v>
      </c>
      <c r="AB113">
        <v>2.4946571224315899</v>
      </c>
      <c r="AC113">
        <v>0.40085669128961399</v>
      </c>
      <c r="AD113">
        <v>1.4946571224315901</v>
      </c>
      <c r="AE113" t="s">
        <v>2173</v>
      </c>
      <c r="AF113" t="s">
        <v>2174</v>
      </c>
      <c r="AG113" t="s">
        <v>2175</v>
      </c>
      <c r="AH113" t="s">
        <v>193</v>
      </c>
      <c r="AI113" t="s">
        <v>193</v>
      </c>
      <c r="AJ113" t="s">
        <v>193</v>
      </c>
      <c r="AK113" t="s">
        <v>193</v>
      </c>
      <c r="AL113" t="s">
        <v>193</v>
      </c>
      <c r="AM113" t="s">
        <v>193</v>
      </c>
      <c r="AN113" t="s">
        <v>193</v>
      </c>
      <c r="AO113" t="s">
        <v>193</v>
      </c>
      <c r="AP113" t="s">
        <v>193</v>
      </c>
      <c r="AQ113">
        <v>0.12201528062290801</v>
      </c>
      <c r="AR113" t="s">
        <v>193</v>
      </c>
      <c r="AS113" t="s">
        <v>193</v>
      </c>
      <c r="AT113">
        <v>79.498820745970804</v>
      </c>
      <c r="AU113" t="s">
        <v>193</v>
      </c>
      <c r="AV113" s="2">
        <v>30507917.2252471</v>
      </c>
      <c r="AW113">
        <v>66.843111650031503</v>
      </c>
      <c r="AX113">
        <v>1588.9024264336599</v>
      </c>
      <c r="AY113">
        <v>-3.6546200998765301</v>
      </c>
      <c r="AZ113">
        <v>26.001471543165401</v>
      </c>
      <c r="BA113">
        <v>72</v>
      </c>
      <c r="BB113">
        <v>-663</v>
      </c>
      <c r="BC113">
        <v>40</v>
      </c>
      <c r="BD113">
        <v>59</v>
      </c>
      <c r="BE113">
        <v>72</v>
      </c>
      <c r="BF113">
        <v>85</v>
      </c>
      <c r="BG113">
        <v>98</v>
      </c>
      <c r="BH113">
        <v>39.861038953264398</v>
      </c>
      <c r="BI113">
        <v>374</v>
      </c>
      <c r="BJ113">
        <v>26</v>
      </c>
      <c r="BK113">
        <v>1037</v>
      </c>
      <c r="BL113">
        <v>22.712310781774502</v>
      </c>
      <c r="BM113">
        <v>11.1761151202363</v>
      </c>
      <c r="BN113">
        <v>22.114784068650302</v>
      </c>
      <c r="BO113">
        <v>0.59633727349444199</v>
      </c>
      <c r="BP113">
        <v>0.180555555555555</v>
      </c>
      <c r="BQ113" t="s">
        <v>194</v>
      </c>
      <c r="BR113" s="2">
        <v>324680339</v>
      </c>
      <c r="BS113">
        <v>77.826113878905701</v>
      </c>
      <c r="BT113">
        <v>2799.31640624995</v>
      </c>
      <c r="BU113">
        <v>17929.427083333299</v>
      </c>
      <c r="BV113">
        <v>0.51015624999999998</v>
      </c>
      <c r="BW113">
        <v>98.580398559570298</v>
      </c>
      <c r="BX113">
        <v>1.04609375</v>
      </c>
      <c r="BY113">
        <v>92.778938293457003</v>
      </c>
      <c r="BZ113">
        <v>73.339080810546804</v>
      </c>
      <c r="CA113" t="s">
        <v>2176</v>
      </c>
      <c r="CB113" t="s">
        <v>2177</v>
      </c>
      <c r="CC113" t="s">
        <v>2178</v>
      </c>
      <c r="CD113" t="s">
        <v>2179</v>
      </c>
      <c r="CE113" t="s">
        <v>2180</v>
      </c>
      <c r="CF113" t="s">
        <v>2181</v>
      </c>
      <c r="CG113" t="s">
        <v>2182</v>
      </c>
      <c r="CH113">
        <v>107.23434381121101</v>
      </c>
      <c r="CI113">
        <v>15.9511645003934</v>
      </c>
      <c r="CJ113">
        <v>-3.6265624250227999</v>
      </c>
      <c r="CK113">
        <v>25.7745552685608</v>
      </c>
      <c r="CL113">
        <v>108</v>
      </c>
      <c r="CM113">
        <v>34</v>
      </c>
      <c r="CN113">
        <v>105</v>
      </c>
      <c r="CO113">
        <v>106</v>
      </c>
      <c r="CP113">
        <v>108</v>
      </c>
      <c r="CQ113">
        <v>109</v>
      </c>
      <c r="CR113">
        <v>110</v>
      </c>
      <c r="CS113">
        <v>3.9938908974073599</v>
      </c>
      <c r="CT113">
        <v>138</v>
      </c>
      <c r="CU113">
        <v>108</v>
      </c>
      <c r="CV113">
        <v>3</v>
      </c>
      <c r="CW113">
        <v>104</v>
      </c>
      <c r="CX113">
        <v>2.2897330689712501</v>
      </c>
      <c r="CY113">
        <v>1.14663758189375</v>
      </c>
      <c r="CZ113">
        <v>2.20361906538569</v>
      </c>
      <c r="DA113">
        <v>3.7244512862769898E-2</v>
      </c>
      <c r="DB113">
        <v>1.3953488372093001E-2</v>
      </c>
      <c r="DC113">
        <v>1.0400017822743399</v>
      </c>
      <c r="DD113">
        <v>3.4548111392700802</v>
      </c>
      <c r="DE113">
        <v>1072.3434381121101</v>
      </c>
      <c r="DF113">
        <v>0.13187348849734301</v>
      </c>
      <c r="DG113">
        <v>1.5684695697700101E-3</v>
      </c>
      <c r="DH113">
        <v>3740.5</v>
      </c>
      <c r="DI113">
        <v>106</v>
      </c>
      <c r="DJ113">
        <v>-3193</v>
      </c>
      <c r="DK113">
        <v>110</v>
      </c>
      <c r="DL113">
        <v>0.51015624999999998</v>
      </c>
      <c r="DM113">
        <v>98.580398559570298</v>
      </c>
      <c r="DN113">
        <v>1.04609375</v>
      </c>
      <c r="DO113">
        <v>92.778938293457003</v>
      </c>
      <c r="DP113">
        <v>73.339080810546804</v>
      </c>
      <c r="DQ113" t="s">
        <v>2183</v>
      </c>
      <c r="DR113" t="s">
        <v>2184</v>
      </c>
      <c r="DS113" t="s">
        <v>2185</v>
      </c>
      <c r="DT113" t="s">
        <v>2186</v>
      </c>
      <c r="DU113" t="s">
        <v>2180</v>
      </c>
      <c r="DV113" t="s">
        <v>2181</v>
      </c>
      <c r="DW113" t="s">
        <v>2187</v>
      </c>
      <c r="DX113">
        <v>6.4497126581049793E-2</v>
      </c>
      <c r="DY113">
        <v>107.42025718522</v>
      </c>
      <c r="DZ113">
        <v>11.4265675862206</v>
      </c>
      <c r="EA113">
        <v>6.2320903708742996</v>
      </c>
      <c r="EB113">
        <v>1.87604613732183</v>
      </c>
      <c r="EC113">
        <v>1.8026729322930699</v>
      </c>
      <c r="ED113">
        <v>6.76955543304204</v>
      </c>
      <c r="EE113">
        <v>6.2320903708741104</v>
      </c>
      <c r="EF113">
        <v>214.84051437044101</v>
      </c>
      <c r="EG113">
        <v>24.973459351577201</v>
      </c>
      <c r="EH113">
        <v>1.1644960246606999</v>
      </c>
      <c r="EI113">
        <v>2.7486927871465901E-2</v>
      </c>
      <c r="EJ113">
        <v>10.0191851338641</v>
      </c>
      <c r="EK113">
        <v>1.8026729322930699</v>
      </c>
      <c r="EL113">
        <v>0.52827466116926103</v>
      </c>
      <c r="EM113">
        <v>0.98364778795219399</v>
      </c>
      <c r="EN113">
        <v>0.47753588451792001</v>
      </c>
      <c r="EO113">
        <v>0.99911105093868802</v>
      </c>
      <c r="EP113" s="2">
        <v>8.0468447293959204E-9</v>
      </c>
      <c r="EQ113">
        <v>0.561583780156938</v>
      </c>
      <c r="ER113">
        <v>11545.5286287582</v>
      </c>
      <c r="ES113">
        <v>24.973459351577201</v>
      </c>
      <c r="ET113">
        <v>-710.58720888300502</v>
      </c>
      <c r="EU113">
        <v>36129.974334202103</v>
      </c>
      <c r="EV113">
        <v>0.845561627840552</v>
      </c>
      <c r="EW113">
        <v>2.0044839259637</v>
      </c>
      <c r="EX113" s="2">
        <v>8.7806475402376705E-5</v>
      </c>
      <c r="EY113">
        <v>11482.778266546</v>
      </c>
      <c r="EZ113" s="2">
        <v>7.4515484042963494E-5</v>
      </c>
      <c r="FA113">
        <v>9685.6744390375206</v>
      </c>
      <c r="FB113" s="2">
        <v>1.7422465212284401E-4</v>
      </c>
      <c r="FC113">
        <v>23171.789249709698</v>
      </c>
      <c r="FD113">
        <v>5101.8435835120099</v>
      </c>
      <c r="FE113">
        <v>28844.863999725701</v>
      </c>
      <c r="FF113">
        <v>0.79376206295336904</v>
      </c>
      <c r="FG113" s="2">
        <v>1.6616653853329701E-4</v>
      </c>
      <c r="FH113">
        <v>7.6038779041200898E-3</v>
      </c>
      <c r="FI113">
        <v>0.42631447954765</v>
      </c>
      <c r="FJ113">
        <v>4277.1486208624701</v>
      </c>
      <c r="FK113">
        <v>2.0250557065701198</v>
      </c>
      <c r="FL113">
        <v>0.67584082361436904</v>
      </c>
      <c r="FM113">
        <v>41689.291020286299</v>
      </c>
      <c r="FN113" s="2">
        <v>9.6138696807423197E-5</v>
      </c>
      <c r="FO113">
        <v>10731.928102625199</v>
      </c>
      <c r="FP113" s="2">
        <v>6.6971273853314598E-5</v>
      </c>
      <c r="FQ113">
        <v>7081.4992417527201</v>
      </c>
      <c r="FR113">
        <v>3.5822151509956899</v>
      </c>
      <c r="FS113" s="2">
        <v>485310525.561903</v>
      </c>
      <c r="FT113">
        <v>293.810560859188</v>
      </c>
      <c r="FU113">
        <v>4.38261576460603E-2</v>
      </c>
      <c r="FV113">
        <v>2831.3979713603799</v>
      </c>
      <c r="FW113">
        <v>0.42234456613370802</v>
      </c>
      <c r="FX113">
        <v>0.12506296054472499</v>
      </c>
      <c r="FY113">
        <v>68.469970462545604</v>
      </c>
      <c r="FZ113">
        <v>41625.355443206798</v>
      </c>
      <c r="GA113">
        <v>6.7678459844404104</v>
      </c>
    </row>
    <row r="114" spans="1:183" x14ac:dyDescent="0.2">
      <c r="A114" t="s">
        <v>2538</v>
      </c>
      <c r="B114" t="s">
        <v>182</v>
      </c>
      <c r="C114" t="s">
        <v>2188</v>
      </c>
      <c r="D114" s="1">
        <v>44270</v>
      </c>
      <c r="E114" t="s">
        <v>2189</v>
      </c>
      <c r="F114" t="s">
        <v>185</v>
      </c>
      <c r="G114" t="s">
        <v>186</v>
      </c>
      <c r="H114">
        <v>1</v>
      </c>
      <c r="I114">
        <v>400</v>
      </c>
      <c r="J114">
        <v>10</v>
      </c>
      <c r="K114" t="s">
        <v>187</v>
      </c>
      <c r="L114" t="s">
        <v>2190</v>
      </c>
      <c r="M114">
        <v>2</v>
      </c>
      <c r="N114">
        <v>0.75085157155990601</v>
      </c>
      <c r="O114">
        <v>0.75085157155990601</v>
      </c>
      <c r="P114" t="s">
        <v>2191</v>
      </c>
      <c r="Q114">
        <v>0</v>
      </c>
      <c r="R114" t="s">
        <v>194</v>
      </c>
      <c r="T114">
        <v>12037.883290349801</v>
      </c>
      <c r="U114">
        <v>12155.0551656713</v>
      </c>
      <c r="V114">
        <v>10780</v>
      </c>
      <c r="W114">
        <v>5849.2375208351004</v>
      </c>
      <c r="X114">
        <v>0.485902494629112</v>
      </c>
      <c r="Y114">
        <v>37.161972475984001</v>
      </c>
      <c r="Z114">
        <v>1.5181906286388901E-2</v>
      </c>
      <c r="AA114">
        <v>8.1894523211292605E-2</v>
      </c>
      <c r="AB114">
        <v>2.3027584275872401</v>
      </c>
      <c r="AC114">
        <v>0.43426179143235999</v>
      </c>
      <c r="AD114">
        <v>1.3027584275872299</v>
      </c>
      <c r="AE114" t="s">
        <v>2192</v>
      </c>
      <c r="AF114" t="s">
        <v>2193</v>
      </c>
      <c r="AG114" t="s">
        <v>2194</v>
      </c>
      <c r="AH114" t="s">
        <v>193</v>
      </c>
      <c r="AI114" t="s">
        <v>193</v>
      </c>
      <c r="AJ114" t="s">
        <v>193</v>
      </c>
      <c r="AK114" t="s">
        <v>193</v>
      </c>
      <c r="AL114" t="s">
        <v>193</v>
      </c>
      <c r="AM114" t="s">
        <v>193</v>
      </c>
      <c r="AN114" t="s">
        <v>193</v>
      </c>
      <c r="AO114" t="s">
        <v>193</v>
      </c>
      <c r="AP114" t="s">
        <v>193</v>
      </c>
      <c r="AQ114">
        <v>0.75407644316957301</v>
      </c>
      <c r="AR114" t="s">
        <v>193</v>
      </c>
      <c r="AS114" t="s">
        <v>193</v>
      </c>
      <c r="AT114">
        <v>68.996219292703401</v>
      </c>
      <c r="AU114" t="s">
        <v>193</v>
      </c>
      <c r="AV114">
        <v>836236.464878937</v>
      </c>
      <c r="AW114">
        <v>69.467068645639998</v>
      </c>
      <c r="AX114">
        <v>9708.38453704725</v>
      </c>
      <c r="AY114">
        <v>-3.9365480444489802</v>
      </c>
      <c r="AZ114">
        <v>29.436613194541799</v>
      </c>
      <c r="BA114">
        <v>82</v>
      </c>
      <c r="BB114">
        <v>-1041</v>
      </c>
      <c r="BC114">
        <v>11</v>
      </c>
      <c r="BD114">
        <v>54</v>
      </c>
      <c r="BE114">
        <v>82</v>
      </c>
      <c r="BF114">
        <v>108</v>
      </c>
      <c r="BG114">
        <v>135</v>
      </c>
      <c r="BH114">
        <v>98.5311348612572</v>
      </c>
      <c r="BI114">
        <v>791</v>
      </c>
      <c r="BJ114">
        <v>54</v>
      </c>
      <c r="BK114">
        <v>1832</v>
      </c>
      <c r="BL114">
        <v>50.436975640315701</v>
      </c>
      <c r="BM114">
        <v>23.221965755308801</v>
      </c>
      <c r="BN114">
        <v>48.918645640074203</v>
      </c>
      <c r="BO114">
        <v>1.41838624807786</v>
      </c>
      <c r="BP114">
        <v>0.33333333333333298</v>
      </c>
      <c r="BQ114" t="s">
        <v>194</v>
      </c>
      <c r="BR114" s="2">
        <v>156677147</v>
      </c>
      <c r="BS114">
        <v>120.557281668364</v>
      </c>
      <c r="BT114">
        <v>844.37605158523604</v>
      </c>
      <c r="BU114">
        <v>11360.503940556</v>
      </c>
      <c r="BV114">
        <v>0.50176248168945303</v>
      </c>
      <c r="BW114">
        <v>86.934829711914006</v>
      </c>
      <c r="BX114">
        <v>1.040734375</v>
      </c>
      <c r="BY114">
        <v>74.037918090820298</v>
      </c>
      <c r="BZ114">
        <v>89.541664123535099</v>
      </c>
      <c r="CA114" t="s">
        <v>2195</v>
      </c>
      <c r="CB114" t="s">
        <v>2196</v>
      </c>
      <c r="CC114" t="s">
        <v>2197</v>
      </c>
      <c r="CD114" t="s">
        <v>2198</v>
      </c>
      <c r="CE114" t="s">
        <v>2199</v>
      </c>
      <c r="CF114" t="s">
        <v>2200</v>
      </c>
      <c r="CG114" t="s">
        <v>2201</v>
      </c>
      <c r="CH114">
        <v>107.49814471243</v>
      </c>
      <c r="CI114">
        <v>97.104356483696506</v>
      </c>
      <c r="CJ114">
        <v>-3.9176239009882501</v>
      </c>
      <c r="CK114">
        <v>29.1369986974589</v>
      </c>
      <c r="CL114">
        <v>109</v>
      </c>
      <c r="CM114">
        <v>1</v>
      </c>
      <c r="CN114">
        <v>102</v>
      </c>
      <c r="CO114">
        <v>106</v>
      </c>
      <c r="CP114">
        <v>109</v>
      </c>
      <c r="CQ114">
        <v>111</v>
      </c>
      <c r="CR114">
        <v>114</v>
      </c>
      <c r="CS114">
        <v>9.8541542754158495</v>
      </c>
      <c r="CT114">
        <v>180</v>
      </c>
      <c r="CU114">
        <v>109</v>
      </c>
      <c r="CV114">
        <v>5</v>
      </c>
      <c r="CW114">
        <v>179</v>
      </c>
      <c r="CX114">
        <v>5.0583427704022004</v>
      </c>
      <c r="CY114">
        <v>2.3848274948200099</v>
      </c>
      <c r="CZ114">
        <v>4.8905380333951696</v>
      </c>
      <c r="DA114">
        <v>9.16681334526918E-2</v>
      </c>
      <c r="DB114">
        <v>2.3041474654377801E-2</v>
      </c>
      <c r="DC114">
        <v>1.3642098000004399</v>
      </c>
      <c r="DD114">
        <v>4.5318068619421501</v>
      </c>
      <c r="DE114">
        <v>1074.98144712422</v>
      </c>
      <c r="DF114">
        <v>6.4275233115678398E-2</v>
      </c>
      <c r="DG114">
        <v>2.4418132712284001E-3</v>
      </c>
      <c r="DH114">
        <v>200</v>
      </c>
      <c r="DI114">
        <v>106</v>
      </c>
      <c r="DJ114">
        <v>-186</v>
      </c>
      <c r="DK114">
        <v>112</v>
      </c>
      <c r="DL114">
        <v>0.50176248168945303</v>
      </c>
      <c r="DM114">
        <v>86.934829711914006</v>
      </c>
      <c r="DN114">
        <v>1.040734375</v>
      </c>
      <c r="DO114">
        <v>74.037918090820298</v>
      </c>
      <c r="DP114">
        <v>89.541664123535099</v>
      </c>
      <c r="DQ114" t="s">
        <v>2202</v>
      </c>
      <c r="DR114" t="s">
        <v>2203</v>
      </c>
      <c r="DS114" t="s">
        <v>2204</v>
      </c>
      <c r="DT114" t="s">
        <v>2205</v>
      </c>
      <c r="DU114" t="s">
        <v>2199</v>
      </c>
      <c r="DV114" t="s">
        <v>2200</v>
      </c>
      <c r="DW114" t="s">
        <v>2206</v>
      </c>
      <c r="DX114">
        <v>1.7335970572704501E-2</v>
      </c>
      <c r="DY114">
        <v>108.017188297101</v>
      </c>
      <c r="DZ114">
        <v>57.184909470572798</v>
      </c>
      <c r="EA114">
        <v>8.2929136397645298</v>
      </c>
      <c r="EB114">
        <v>2.4964157570202699</v>
      </c>
      <c r="EC114">
        <v>4.2131241441651399</v>
      </c>
      <c r="ED114">
        <v>44.671062933555703</v>
      </c>
      <c r="EE114">
        <v>8.2929136397638992</v>
      </c>
      <c r="EF114">
        <v>216.034376594202</v>
      </c>
      <c r="EG114">
        <v>166.31815989458499</v>
      </c>
      <c r="EH114">
        <v>8.2929136397645102</v>
      </c>
      <c r="EI114">
        <v>6.6689311633918898E-3</v>
      </c>
      <c r="EJ114">
        <v>62.421477987702801</v>
      </c>
      <c r="EK114">
        <v>4.2131241441651399</v>
      </c>
      <c r="EL114">
        <v>0.36120483021088701</v>
      </c>
      <c r="EM114">
        <v>0.97822139215715798</v>
      </c>
      <c r="EN114">
        <v>0.27784087463498702</v>
      </c>
      <c r="EO114">
        <v>0.99817080123327695</v>
      </c>
      <c r="EP114" s="2">
        <v>3.2795314273199397E-5</v>
      </c>
      <c r="EQ114">
        <v>0.454213720318764</v>
      </c>
      <c r="ER114">
        <v>11693.6871380881</v>
      </c>
      <c r="ES114">
        <v>166.31815989458499</v>
      </c>
      <c r="ET114">
        <v>-8549.8924193888906</v>
      </c>
      <c r="EU114">
        <v>1156148.70222386</v>
      </c>
      <c r="EV114">
        <v>0.93332931938179298</v>
      </c>
      <c r="EW114">
        <v>1.32762360191152</v>
      </c>
      <c r="EX114" s="2">
        <v>4.0067804108257502E-4</v>
      </c>
      <c r="EY114">
        <v>11635.5331572225</v>
      </c>
      <c r="EZ114" s="2">
        <v>3.8925800015914301E-4</v>
      </c>
      <c r="FA114">
        <v>10846.7499286738</v>
      </c>
      <c r="FB114" s="2">
        <v>4.5153429469169701E-4</v>
      </c>
      <c r="FC114">
        <v>15509.9856081035</v>
      </c>
      <c r="FD114">
        <v>604.45518918085099</v>
      </c>
      <c r="FE114">
        <v>8269.1748237267693</v>
      </c>
      <c r="FF114">
        <v>0.91054659626088197</v>
      </c>
      <c r="FG114" s="2">
        <v>7.3823055124226905E-4</v>
      </c>
      <c r="FH114">
        <v>3.5869339139621897E-2</v>
      </c>
      <c r="FI114">
        <v>5.3301946651403198E-2</v>
      </c>
      <c r="FJ114">
        <v>31455.289544418101</v>
      </c>
      <c r="FK114">
        <v>18.322944465639999</v>
      </c>
      <c r="FL114">
        <v>0.71848952449276404</v>
      </c>
      <c r="FM114">
        <v>177.46971428571399</v>
      </c>
      <c r="FN114" s="2">
        <v>7.05238921247684E-4</v>
      </c>
      <c r="FO114">
        <v>11279.790571428501</v>
      </c>
      <c r="FP114" s="2">
        <v>4.6678069871145401E-4</v>
      </c>
      <c r="FQ114">
        <v>7949.2679557849797</v>
      </c>
      <c r="FR114">
        <v>1.6554621975123598E-2</v>
      </c>
      <c r="FS114">
        <v>2090533.14571428</v>
      </c>
      <c r="FT114">
        <v>115.3</v>
      </c>
      <c r="FU114">
        <v>3.29428571428571E-2</v>
      </c>
      <c r="FV114">
        <v>1672.9851428571401</v>
      </c>
      <c r="FW114">
        <v>0.47799575510204001</v>
      </c>
      <c r="FX114">
        <v>0.32467532467532401</v>
      </c>
      <c r="FY114">
        <v>256.53050277551</v>
      </c>
      <c r="FZ114">
        <v>167.98331428571399</v>
      </c>
      <c r="GA114">
        <v>7.1247736375341999</v>
      </c>
    </row>
    <row r="115" spans="1:183" x14ac:dyDescent="0.2">
      <c r="A115" t="s">
        <v>2539</v>
      </c>
      <c r="B115" t="s">
        <v>182</v>
      </c>
      <c r="C115" t="s">
        <v>2207</v>
      </c>
      <c r="D115" s="1">
        <v>43575</v>
      </c>
      <c r="E115" t="s">
        <v>2208</v>
      </c>
      <c r="F115" t="s">
        <v>185</v>
      </c>
      <c r="G115" t="s">
        <v>186</v>
      </c>
      <c r="H115">
        <v>1</v>
      </c>
      <c r="I115">
        <v>400</v>
      </c>
      <c r="J115">
        <v>10</v>
      </c>
      <c r="K115" t="s">
        <v>187</v>
      </c>
      <c r="L115" t="s">
        <v>2209</v>
      </c>
      <c r="M115">
        <v>5</v>
      </c>
      <c r="N115">
        <v>0.650390625</v>
      </c>
      <c r="O115">
        <v>0.650390625</v>
      </c>
      <c r="P115" t="s">
        <v>2210</v>
      </c>
      <c r="Q115">
        <v>0</v>
      </c>
      <c r="R115" t="s">
        <v>194</v>
      </c>
      <c r="T115">
        <v>1417.6935696601799</v>
      </c>
      <c r="U115">
        <v>1459.3774795532199</v>
      </c>
      <c r="V115">
        <v>690</v>
      </c>
      <c r="W115">
        <v>915.64527597764504</v>
      </c>
      <c r="X115">
        <v>0.64586966857521899</v>
      </c>
      <c r="Y115">
        <v>19.543777927583101</v>
      </c>
      <c r="Z115">
        <v>2.8867989886002799E-2</v>
      </c>
      <c r="AA115">
        <v>0.29609790533047903</v>
      </c>
      <c r="AB115">
        <v>1.5003349342737899</v>
      </c>
      <c r="AC115">
        <v>0.66651784022080895</v>
      </c>
      <c r="AD115">
        <v>0.50033493427379405</v>
      </c>
      <c r="AE115" t="s">
        <v>2211</v>
      </c>
      <c r="AF115" t="s">
        <v>2212</v>
      </c>
      <c r="AG115" t="s">
        <v>2213</v>
      </c>
      <c r="AH115" t="s">
        <v>193</v>
      </c>
      <c r="AI115" t="s">
        <v>193</v>
      </c>
      <c r="AJ115" t="s">
        <v>193</v>
      </c>
      <c r="AK115" t="s">
        <v>193</v>
      </c>
      <c r="AL115" t="s">
        <v>193</v>
      </c>
      <c r="AM115" t="s">
        <v>193</v>
      </c>
      <c r="AN115" t="s">
        <v>193</v>
      </c>
      <c r="AO115" t="s">
        <v>193</v>
      </c>
      <c r="AP115" t="s">
        <v>193</v>
      </c>
      <c r="AQ115">
        <v>0.27457262017707201</v>
      </c>
      <c r="AR115" t="s">
        <v>193</v>
      </c>
      <c r="AS115" t="s">
        <v>193</v>
      </c>
      <c r="AT115">
        <v>24.0943602250894</v>
      </c>
      <c r="AU115" t="s">
        <v>193</v>
      </c>
      <c r="AV115">
        <v>708840.62094500696</v>
      </c>
      <c r="AW115">
        <v>47.995652173913001</v>
      </c>
      <c r="AX115">
        <v>4874.87099558916</v>
      </c>
      <c r="AY115">
        <v>-2.3890514740711302</v>
      </c>
      <c r="AZ115">
        <v>8.9155761330609398</v>
      </c>
      <c r="BA115">
        <v>73</v>
      </c>
      <c r="BB115">
        <v>-452</v>
      </c>
      <c r="BC115">
        <v>-43</v>
      </c>
      <c r="BD115">
        <v>25</v>
      </c>
      <c r="BE115">
        <v>73</v>
      </c>
      <c r="BF115">
        <v>92</v>
      </c>
      <c r="BG115">
        <v>105</v>
      </c>
      <c r="BH115">
        <v>69.820276392958803</v>
      </c>
      <c r="BI115">
        <v>131</v>
      </c>
      <c r="BJ115">
        <v>67</v>
      </c>
      <c r="BK115">
        <v>583</v>
      </c>
      <c r="BL115">
        <v>49.936181474480598</v>
      </c>
      <c r="BM115">
        <v>30.721435180961599</v>
      </c>
      <c r="BN115">
        <v>45.589855072463699</v>
      </c>
      <c r="BO115">
        <v>1.4547208597137899</v>
      </c>
      <c r="BP115">
        <v>0.57264957264957195</v>
      </c>
      <c r="BQ115" t="s">
        <v>194</v>
      </c>
      <c r="BR115">
        <v>4953133</v>
      </c>
      <c r="BS115">
        <v>84.725755371011005</v>
      </c>
      <c r="BT115">
        <v>70.043773899078303</v>
      </c>
      <c r="BU115">
        <v>156.51294708251899</v>
      </c>
      <c r="BV115">
        <v>0.53933514404296801</v>
      </c>
      <c r="BW115" t="s">
        <v>194</v>
      </c>
      <c r="BX115">
        <v>1.0300244140624999</v>
      </c>
      <c r="BY115" t="s">
        <v>194</v>
      </c>
      <c r="BZ115" t="s">
        <v>194</v>
      </c>
      <c r="CA115" t="s">
        <v>2214</v>
      </c>
      <c r="CB115" t="s">
        <v>2215</v>
      </c>
      <c r="CC115" t="s">
        <v>2216</v>
      </c>
      <c r="CD115" t="s">
        <v>2217</v>
      </c>
      <c r="CE115" t="s">
        <v>2218</v>
      </c>
      <c r="CF115" t="s">
        <v>2219</v>
      </c>
      <c r="CG115" t="s">
        <v>2220</v>
      </c>
      <c r="CH115">
        <v>105.350724637681</v>
      </c>
      <c r="CI115">
        <v>48.833513967653701</v>
      </c>
      <c r="CJ115">
        <v>-2.3971600761835701</v>
      </c>
      <c r="CK115">
        <v>9.0315333831146898</v>
      </c>
      <c r="CL115">
        <v>108</v>
      </c>
      <c r="CM115">
        <v>55</v>
      </c>
      <c r="CN115">
        <v>96</v>
      </c>
      <c r="CO115">
        <v>103</v>
      </c>
      <c r="CP115">
        <v>108</v>
      </c>
      <c r="CQ115">
        <v>110</v>
      </c>
      <c r="CR115">
        <v>111</v>
      </c>
      <c r="CS115">
        <v>6.9880980221841202</v>
      </c>
      <c r="CT115">
        <v>114</v>
      </c>
      <c r="CU115">
        <v>109</v>
      </c>
      <c r="CV115">
        <v>7</v>
      </c>
      <c r="CW115">
        <v>59</v>
      </c>
      <c r="CX115">
        <v>4.99384162990967</v>
      </c>
      <c r="CY115">
        <v>3.2590711598271098</v>
      </c>
      <c r="CZ115">
        <v>4.5478260869565199</v>
      </c>
      <c r="DA115">
        <v>6.6331750884650903E-2</v>
      </c>
      <c r="DB115">
        <v>3.2863849765258198E-2</v>
      </c>
      <c r="DC115">
        <v>1.2743951287334301</v>
      </c>
      <c r="DD115">
        <v>4.2334489821271903</v>
      </c>
      <c r="DE115">
        <v>1053.5072463768299</v>
      </c>
      <c r="DF115">
        <v>7.4240705734089404E-2</v>
      </c>
      <c r="DG115">
        <v>1.0372811851257E-2</v>
      </c>
      <c r="DH115">
        <v>26</v>
      </c>
      <c r="DI115">
        <v>108</v>
      </c>
      <c r="DJ115">
        <v>-27</v>
      </c>
      <c r="DK115">
        <v>111</v>
      </c>
      <c r="DL115">
        <v>0.53933514404296801</v>
      </c>
      <c r="DM115" t="s">
        <v>194</v>
      </c>
      <c r="DN115">
        <v>1.0300244140624999</v>
      </c>
      <c r="DO115" t="s">
        <v>194</v>
      </c>
      <c r="DP115" t="s">
        <v>194</v>
      </c>
      <c r="DQ115" t="s">
        <v>2221</v>
      </c>
      <c r="DR115" t="s">
        <v>2222</v>
      </c>
      <c r="DS115" t="s">
        <v>2223</v>
      </c>
      <c r="DT115" t="s">
        <v>2224</v>
      </c>
      <c r="DU115" t="s">
        <v>2218</v>
      </c>
      <c r="DV115" t="s">
        <v>2219</v>
      </c>
      <c r="DW115" t="s">
        <v>2225</v>
      </c>
      <c r="DX115">
        <v>4.2500515782958499E-2</v>
      </c>
      <c r="DY115">
        <v>106.375799463585</v>
      </c>
      <c r="DZ115">
        <v>31.697334697148399</v>
      </c>
      <c r="EA115">
        <v>7.6645794593314696</v>
      </c>
      <c r="EB115">
        <v>2.3072683214088001</v>
      </c>
      <c r="EC115">
        <v>3.8768310295027799</v>
      </c>
      <c r="ED115">
        <v>19.683818470107902</v>
      </c>
      <c r="EE115">
        <v>7.6645794593314402</v>
      </c>
      <c r="EF115">
        <v>212.75159892717099</v>
      </c>
      <c r="EG115">
        <v>0</v>
      </c>
      <c r="EH115">
        <v>0</v>
      </c>
      <c r="EI115">
        <v>1.0526888626507899E-2</v>
      </c>
      <c r="EJ115">
        <v>34.713637301423503</v>
      </c>
      <c r="EK115">
        <v>3.8768310295027799</v>
      </c>
      <c r="EL115">
        <v>0.39607175155697699</v>
      </c>
      <c r="EM115">
        <v>0.94338865779982395</v>
      </c>
      <c r="EN115">
        <v>0.32529831824930699</v>
      </c>
      <c r="EO115">
        <v>0.99084133543530295</v>
      </c>
      <c r="EP115">
        <v>0</v>
      </c>
      <c r="EQ115">
        <v>0.45242024868818898</v>
      </c>
      <c r="ER115">
        <v>11330.1512275634</v>
      </c>
      <c r="ES115">
        <v>0</v>
      </c>
      <c r="ET115">
        <v>-2055.80488461001</v>
      </c>
      <c r="EU115">
        <v>115541.361262469</v>
      </c>
      <c r="EV115">
        <v>0.93768629073883203</v>
      </c>
      <c r="EW115">
        <v>1.4036292641880499</v>
      </c>
      <c r="EX115" s="2">
        <v>9.2447726230480894E-5</v>
      </c>
      <c r="EY115">
        <v>11078.204661368</v>
      </c>
      <c r="EZ115" s="2">
        <v>8.7137844275288098E-5</v>
      </c>
      <c r="FA115">
        <v>10344.194777481</v>
      </c>
      <c r="FB115" s="2">
        <v>1.2671226367711499E-4</v>
      </c>
      <c r="FC115">
        <v>15847.189822611799</v>
      </c>
      <c r="FD115">
        <v>43.857439214209201</v>
      </c>
      <c r="FE115">
        <v>552.48772829450002</v>
      </c>
      <c r="FF115">
        <v>0.91415830546265298</v>
      </c>
      <c r="FG115">
        <v>8.6824106373745505E-3</v>
      </c>
      <c r="FH115">
        <v>0.20139420137943401</v>
      </c>
      <c r="FI115">
        <v>2.1233242761920301E-2</v>
      </c>
      <c r="FJ115">
        <v>2680.0640361063201</v>
      </c>
      <c r="FK115">
        <v>14.9877612692004</v>
      </c>
      <c r="FL115">
        <v>0.75326931065133296</v>
      </c>
      <c r="FM115">
        <v>48.5803921568627</v>
      </c>
      <c r="FN115" s="2">
        <v>1.0155055683572999E-4</v>
      </c>
      <c r="FO115">
        <v>10226.3960784313</v>
      </c>
      <c r="FP115" s="2">
        <v>7.9015065770727096E-5</v>
      </c>
      <c r="FQ115">
        <v>7493.8174193782997</v>
      </c>
      <c r="FR115">
        <v>4.0987091855202596E-3</v>
      </c>
      <c r="FS115">
        <v>577232.37647058803</v>
      </c>
      <c r="FT115">
        <v>10.8666666666666</v>
      </c>
      <c r="FU115">
        <v>4.2614379084967298E-2</v>
      </c>
      <c r="FV115">
        <v>134.874509803921</v>
      </c>
      <c r="FW115">
        <v>0.52891964628988797</v>
      </c>
      <c r="FX115">
        <v>0.36956521739130399</v>
      </c>
      <c r="FY115">
        <v>76.031126489811598</v>
      </c>
      <c r="FZ115">
        <v>41.2585928489042</v>
      </c>
      <c r="GA115">
        <v>5.8836598459060001</v>
      </c>
    </row>
    <row r="116" spans="1:183" x14ac:dyDescent="0.2">
      <c r="A116" t="s">
        <v>2540</v>
      </c>
      <c r="B116" t="s">
        <v>182</v>
      </c>
      <c r="C116" t="s">
        <v>2226</v>
      </c>
      <c r="D116" s="1">
        <v>43633</v>
      </c>
      <c r="E116" t="s">
        <v>2227</v>
      </c>
      <c r="F116" t="s">
        <v>185</v>
      </c>
      <c r="G116" t="s">
        <v>186</v>
      </c>
      <c r="H116">
        <v>1</v>
      </c>
      <c r="I116">
        <v>400</v>
      </c>
      <c r="J116">
        <v>10</v>
      </c>
      <c r="K116" t="s">
        <v>187</v>
      </c>
      <c r="L116" t="s">
        <v>2228</v>
      </c>
      <c r="M116">
        <v>1.5</v>
      </c>
      <c r="N116">
        <v>0.57421875</v>
      </c>
      <c r="O116">
        <v>0.57421875</v>
      </c>
      <c r="P116" t="s">
        <v>2229</v>
      </c>
      <c r="Q116">
        <v>0</v>
      </c>
      <c r="R116" t="s">
        <v>194</v>
      </c>
      <c r="T116">
        <v>110428.474084854</v>
      </c>
      <c r="U116">
        <v>110574.666870117</v>
      </c>
      <c r="V116">
        <v>223568</v>
      </c>
      <c r="W116">
        <v>24646.7222776901</v>
      </c>
      <c r="X116">
        <v>0.22319173095474801</v>
      </c>
      <c r="Y116">
        <v>35.039482713622803</v>
      </c>
      <c r="Z116">
        <v>1.6101538603148599E-2</v>
      </c>
      <c r="AA116">
        <v>9.2116409406933303E-2</v>
      </c>
      <c r="AB116">
        <v>2.21422117435199</v>
      </c>
      <c r="AC116">
        <v>0.45162606680096301</v>
      </c>
      <c r="AD116">
        <v>1.21422117435198</v>
      </c>
      <c r="AE116" t="s">
        <v>2230</v>
      </c>
      <c r="AF116" t="s">
        <v>2231</v>
      </c>
      <c r="AG116" t="s">
        <v>2232</v>
      </c>
      <c r="AH116" t="s">
        <v>193</v>
      </c>
      <c r="AI116" t="s">
        <v>193</v>
      </c>
      <c r="AJ116" t="s">
        <v>193</v>
      </c>
      <c r="AK116" t="s">
        <v>193</v>
      </c>
      <c r="AL116" t="s">
        <v>193</v>
      </c>
      <c r="AM116" t="s">
        <v>193</v>
      </c>
      <c r="AN116" t="s">
        <v>193</v>
      </c>
      <c r="AO116" t="s">
        <v>193</v>
      </c>
      <c r="AP116" t="s">
        <v>193</v>
      </c>
      <c r="AQ116">
        <v>3.5856196297730999E-2</v>
      </c>
      <c r="AR116" t="s">
        <v>193</v>
      </c>
      <c r="AS116" t="s">
        <v>193</v>
      </c>
      <c r="AT116">
        <v>102.089296354143</v>
      </c>
      <c r="AU116" t="s">
        <v>193</v>
      </c>
      <c r="AV116" s="2">
        <v>75766213.480219498</v>
      </c>
      <c r="AW116">
        <v>60.111205539254499</v>
      </c>
      <c r="AX116">
        <v>1701.5261719381899</v>
      </c>
      <c r="AY116">
        <v>-0.94576805967310595</v>
      </c>
      <c r="AZ116">
        <v>25.226574426475501</v>
      </c>
      <c r="BA116">
        <v>61</v>
      </c>
      <c r="BB116">
        <v>-626</v>
      </c>
      <c r="BC116">
        <v>18</v>
      </c>
      <c r="BD116">
        <v>39</v>
      </c>
      <c r="BE116">
        <v>61</v>
      </c>
      <c r="BF116">
        <v>82</v>
      </c>
      <c r="BG116">
        <v>103</v>
      </c>
      <c r="BH116">
        <v>41.249559657506602</v>
      </c>
      <c r="BI116">
        <v>1115</v>
      </c>
      <c r="BJ116">
        <v>43</v>
      </c>
      <c r="BK116">
        <v>1741</v>
      </c>
      <c r="BL116">
        <v>28.197239594098502</v>
      </c>
      <c r="BM116">
        <v>18.0733350261808</v>
      </c>
      <c r="BN116">
        <v>28.188604809274999</v>
      </c>
      <c r="BO116">
        <v>0.68622080172005995</v>
      </c>
      <c r="BP116">
        <v>0.35537190082644599</v>
      </c>
      <c r="BQ116" t="s">
        <v>194</v>
      </c>
      <c r="BR116" s="2">
        <v>1188237808</v>
      </c>
      <c r="BS116">
        <v>72.903245492369393</v>
      </c>
      <c r="BT116">
        <v>6646.7765276642103</v>
      </c>
      <c r="BU116">
        <v>100791.99137878401</v>
      </c>
      <c r="BV116">
        <v>0.502009613037109</v>
      </c>
      <c r="BW116">
        <v>94.140884399414006</v>
      </c>
      <c r="BX116">
        <v>1.0035246582031201</v>
      </c>
      <c r="BY116">
        <v>82.955131530761705</v>
      </c>
      <c r="BZ116">
        <v>48.1824340820312</v>
      </c>
      <c r="CA116" t="s">
        <v>2233</v>
      </c>
      <c r="CB116" t="s">
        <v>2234</v>
      </c>
      <c r="CC116" t="s">
        <v>2235</v>
      </c>
      <c r="CD116" t="s">
        <v>2236</v>
      </c>
      <c r="CE116" t="s">
        <v>2237</v>
      </c>
      <c r="CF116" t="s">
        <v>2238</v>
      </c>
      <c r="CG116" t="s">
        <v>2239</v>
      </c>
      <c r="CH116">
        <v>106.560697416446</v>
      </c>
      <c r="CI116">
        <v>17.094612538729901</v>
      </c>
      <c r="CJ116">
        <v>-0.93616616910152495</v>
      </c>
      <c r="CK116">
        <v>24.982408878554399</v>
      </c>
      <c r="CL116">
        <v>107</v>
      </c>
      <c r="CM116">
        <v>38</v>
      </c>
      <c r="CN116">
        <v>102</v>
      </c>
      <c r="CO116">
        <v>104</v>
      </c>
      <c r="CP116">
        <v>107</v>
      </c>
      <c r="CQ116">
        <v>109</v>
      </c>
      <c r="CR116">
        <v>111</v>
      </c>
      <c r="CS116">
        <v>4.1345631617777796</v>
      </c>
      <c r="CT116">
        <v>212</v>
      </c>
      <c r="CU116">
        <v>107</v>
      </c>
      <c r="CV116">
        <v>5</v>
      </c>
      <c r="CW116">
        <v>174</v>
      </c>
      <c r="CX116">
        <v>2.84064366509996</v>
      </c>
      <c r="CY116">
        <v>2.00416771531349</v>
      </c>
      <c r="CZ116">
        <v>2.8254938094897302</v>
      </c>
      <c r="DA116">
        <v>3.8800076031969E-2</v>
      </c>
      <c r="DB116">
        <v>2.3474178403755801E-2</v>
      </c>
      <c r="DC116">
        <v>1.1739098012215501</v>
      </c>
      <c r="DD116">
        <v>3.8996439495415101</v>
      </c>
      <c r="DE116">
        <v>1065.60697416427</v>
      </c>
      <c r="DF116">
        <v>8.5157574135458394E-2</v>
      </c>
      <c r="DG116" s="2">
        <v>6.1717285993821095E-4</v>
      </c>
      <c r="DH116">
        <v>5428.5</v>
      </c>
      <c r="DI116">
        <v>104</v>
      </c>
      <c r="DJ116">
        <v>-5149.5</v>
      </c>
      <c r="DK116">
        <v>109</v>
      </c>
      <c r="DL116">
        <v>0.502009613037109</v>
      </c>
      <c r="DM116">
        <v>94.140884399414006</v>
      </c>
      <c r="DN116">
        <v>1.0035246582031201</v>
      </c>
      <c r="DO116">
        <v>82.955131530761705</v>
      </c>
      <c r="DP116">
        <v>48.1824340820312</v>
      </c>
      <c r="DQ116" t="s">
        <v>2240</v>
      </c>
      <c r="DR116" t="s">
        <v>2241</v>
      </c>
      <c r="DS116" t="s">
        <v>2242</v>
      </c>
      <c r="DT116" t="s">
        <v>2243</v>
      </c>
      <c r="DU116" t="s">
        <v>2237</v>
      </c>
      <c r="DV116" t="s">
        <v>2238</v>
      </c>
      <c r="DW116" t="s">
        <v>2244</v>
      </c>
      <c r="DX116">
        <v>2.2111811367871902E-2</v>
      </c>
      <c r="DY116">
        <v>106.645113208175</v>
      </c>
      <c r="DZ116">
        <v>13.926554614713901</v>
      </c>
      <c r="EA116">
        <v>7.3577774650907397</v>
      </c>
      <c r="EB116">
        <v>2.2149117184128801</v>
      </c>
      <c r="EC116">
        <v>2.4710667985668699</v>
      </c>
      <c r="ED116">
        <v>7.2675407195107598</v>
      </c>
      <c r="EE116">
        <v>7.3577774650904502</v>
      </c>
      <c r="EF116">
        <v>213.290226416351</v>
      </c>
      <c r="EG116">
        <v>42.200177236447999</v>
      </c>
      <c r="EH116">
        <v>7.3576550276105701</v>
      </c>
      <c r="EI116">
        <v>9.9771139890691193E-3</v>
      </c>
      <c r="EJ116">
        <v>13.3737118424902</v>
      </c>
      <c r="EK116">
        <v>2.4710667985668699</v>
      </c>
      <c r="EL116">
        <v>0.42741769107116101</v>
      </c>
      <c r="EM116">
        <v>0.98628971673694799</v>
      </c>
      <c r="EN116">
        <v>0.35056542455457201</v>
      </c>
      <c r="EO116">
        <v>0.99956764695071998</v>
      </c>
      <c r="EP116" s="2">
        <v>5.28380668074625E-8</v>
      </c>
      <c r="EQ116">
        <v>0.51984851198011095</v>
      </c>
      <c r="ER116">
        <v>11380.4198698782</v>
      </c>
      <c r="ES116">
        <v>42.200177236447999</v>
      </c>
      <c r="ET116">
        <v>-75.303495612710194</v>
      </c>
      <c r="EU116">
        <v>26742.700239491001</v>
      </c>
      <c r="EV116">
        <v>0.89435747090458895</v>
      </c>
      <c r="EW116">
        <v>1.56076906115008</v>
      </c>
      <c r="EX116" s="2">
        <v>8.8596104448112801E-5</v>
      </c>
      <c r="EY116">
        <v>11369.535812727399</v>
      </c>
      <c r="EZ116" s="2">
        <v>7.9292342583218696E-5</v>
      </c>
      <c r="FA116">
        <v>10166.268957108299</v>
      </c>
      <c r="FB116" s="2">
        <v>1.3798012277454799E-4</v>
      </c>
      <c r="FC116">
        <v>17755.661167054601</v>
      </c>
      <c r="FD116">
        <v>15908.698525702701</v>
      </c>
      <c r="FE116">
        <v>147016.07808815199</v>
      </c>
      <c r="FF116">
        <v>0.86110335041756303</v>
      </c>
      <c r="FG116" s="2">
        <v>4.1491249149109702E-5</v>
      </c>
      <c r="FH116">
        <v>3.83738984549055E-3</v>
      </c>
      <c r="FI116">
        <v>1.0116651773059899</v>
      </c>
      <c r="FJ116">
        <v>13296.8748356221</v>
      </c>
      <c r="FK116">
        <v>1.02279139535233</v>
      </c>
      <c r="FL116">
        <v>0.62920710175374495</v>
      </c>
      <c r="FM116">
        <v>68702.472409891707</v>
      </c>
      <c r="FN116" s="2">
        <v>9.1189125635911204E-5</v>
      </c>
      <c r="FO116">
        <v>11253.6494908679</v>
      </c>
      <c r="FP116" s="2">
        <v>5.8358479247689398E-5</v>
      </c>
      <c r="FQ116">
        <v>7022.2452949099797</v>
      </c>
      <c r="FR116">
        <v>6.0432530743227098</v>
      </c>
      <c r="FS116" s="2">
        <v>781508065.89953101</v>
      </c>
      <c r="FT116">
        <v>1455.9295619848001</v>
      </c>
      <c r="FU116">
        <v>4.7064152642146598E-2</v>
      </c>
      <c r="FV116">
        <v>11352.682107645</v>
      </c>
      <c r="FW116">
        <v>0.36698503661370802</v>
      </c>
      <c r="FX116">
        <v>0.13836953410148101</v>
      </c>
      <c r="FY116">
        <v>61.459555427420199</v>
      </c>
      <c r="FZ116">
        <v>68650.242528126604</v>
      </c>
      <c r="GA116">
        <v>7.0497457201952702</v>
      </c>
    </row>
    <row r="117" spans="1:183" x14ac:dyDescent="0.2">
      <c r="A117" t="s">
        <v>2541</v>
      </c>
      <c r="B117" t="s">
        <v>182</v>
      </c>
      <c r="C117" t="s">
        <v>2245</v>
      </c>
      <c r="D117" s="1">
        <v>43971</v>
      </c>
      <c r="E117" t="s">
        <v>2246</v>
      </c>
      <c r="F117" t="s">
        <v>185</v>
      </c>
      <c r="G117" t="s">
        <v>186</v>
      </c>
      <c r="H117">
        <v>1</v>
      </c>
      <c r="I117">
        <v>400</v>
      </c>
      <c r="J117">
        <v>10</v>
      </c>
      <c r="K117" t="s">
        <v>187</v>
      </c>
      <c r="L117" t="s">
        <v>2247</v>
      </c>
      <c r="M117">
        <v>2</v>
      </c>
      <c r="N117">
        <v>0.791015625</v>
      </c>
      <c r="O117">
        <v>0.791015625</v>
      </c>
      <c r="P117" t="s">
        <v>2248</v>
      </c>
      <c r="Q117">
        <v>0</v>
      </c>
      <c r="R117" t="s">
        <v>194</v>
      </c>
      <c r="T117">
        <v>12442.3146486282</v>
      </c>
      <c r="U117">
        <v>12554.159545898399</v>
      </c>
      <c r="V117">
        <v>10032</v>
      </c>
      <c r="W117">
        <v>5734.5716004074402</v>
      </c>
      <c r="X117">
        <v>0.460892668474645</v>
      </c>
      <c r="Y117">
        <v>34.901998021035801</v>
      </c>
      <c r="Z117">
        <v>1.6164965203645701E-2</v>
      </c>
      <c r="AA117">
        <v>9.2843562057756998E-2</v>
      </c>
      <c r="AB117">
        <v>2.20842540876236</v>
      </c>
      <c r="AC117">
        <v>0.45281130892277399</v>
      </c>
      <c r="AD117">
        <v>1.20842540876236</v>
      </c>
      <c r="AE117" t="s">
        <v>2249</v>
      </c>
      <c r="AF117" t="s">
        <v>2250</v>
      </c>
      <c r="AG117" t="s">
        <v>2251</v>
      </c>
      <c r="AH117" t="s">
        <v>193</v>
      </c>
      <c r="AI117" t="s">
        <v>193</v>
      </c>
      <c r="AJ117" t="s">
        <v>193</v>
      </c>
      <c r="AK117" t="s">
        <v>193</v>
      </c>
      <c r="AL117" t="s">
        <v>193</v>
      </c>
      <c r="AM117" t="s">
        <v>193</v>
      </c>
      <c r="AN117" t="s">
        <v>193</v>
      </c>
      <c r="AO117" t="s">
        <v>193</v>
      </c>
      <c r="AP117" t="s">
        <v>193</v>
      </c>
      <c r="AQ117">
        <v>7.0356870180577999E-2</v>
      </c>
      <c r="AR117" t="s">
        <v>193</v>
      </c>
      <c r="AS117" t="s">
        <v>193</v>
      </c>
      <c r="AT117">
        <v>57.756287368747401</v>
      </c>
      <c r="AU117" t="s">
        <v>193</v>
      </c>
      <c r="AV117">
        <v>8385782.7217415702</v>
      </c>
      <c r="AW117">
        <v>46.972886762360197</v>
      </c>
      <c r="AX117">
        <v>3457.9233079345399</v>
      </c>
      <c r="AY117">
        <v>-1.0040791325251099</v>
      </c>
      <c r="AZ117">
        <v>28.9416728029728</v>
      </c>
      <c r="BA117">
        <v>52</v>
      </c>
      <c r="BB117">
        <v>-627</v>
      </c>
      <c r="BC117">
        <v>-4</v>
      </c>
      <c r="BD117">
        <v>28</v>
      </c>
      <c r="BE117">
        <v>52</v>
      </c>
      <c r="BF117">
        <v>75</v>
      </c>
      <c r="BG117">
        <v>97</v>
      </c>
      <c r="BH117">
        <v>58.804109617734497</v>
      </c>
      <c r="BI117">
        <v>960</v>
      </c>
      <c r="BJ117">
        <v>47</v>
      </c>
      <c r="BK117">
        <v>1587</v>
      </c>
      <c r="BL117">
        <v>35.531036250188997</v>
      </c>
      <c r="BM117">
        <v>20.192639029883502</v>
      </c>
      <c r="BN117">
        <v>35.245015948963299</v>
      </c>
      <c r="BO117">
        <v>1.2518734459567999</v>
      </c>
      <c r="BP117">
        <v>0.45631067961165001</v>
      </c>
      <c r="BQ117" t="s">
        <v>194</v>
      </c>
      <c r="BR117" s="2">
        <v>56825014</v>
      </c>
      <c r="BS117">
        <v>75.2620448747181</v>
      </c>
      <c r="BT117">
        <v>589.705114746091</v>
      </c>
      <c r="BU117">
        <v>9144.8976516723596</v>
      </c>
      <c r="BV117">
        <v>0.51683294677734304</v>
      </c>
      <c r="BW117">
        <v>76.317192077636705</v>
      </c>
      <c r="BX117">
        <v>1.0399228515625001</v>
      </c>
      <c r="BY117">
        <v>63.728916168212798</v>
      </c>
      <c r="BZ117">
        <v>53.098670959472599</v>
      </c>
      <c r="CA117" t="s">
        <v>2252</v>
      </c>
      <c r="CB117" t="s">
        <v>2253</v>
      </c>
      <c r="CC117" t="s">
        <v>2254</v>
      </c>
      <c r="CD117" t="s">
        <v>2255</v>
      </c>
      <c r="CE117" t="s">
        <v>2256</v>
      </c>
      <c r="CF117" t="s">
        <v>2257</v>
      </c>
      <c r="CG117" t="s">
        <v>2258</v>
      </c>
      <c r="CH117">
        <v>105.251096491228</v>
      </c>
      <c r="CI117">
        <v>34.640000791327303</v>
      </c>
      <c r="CJ117">
        <v>-0.995876770864775</v>
      </c>
      <c r="CK117">
        <v>28.802085203243099</v>
      </c>
      <c r="CL117">
        <v>106</v>
      </c>
      <c r="CM117">
        <v>38</v>
      </c>
      <c r="CN117">
        <v>100</v>
      </c>
      <c r="CO117">
        <v>103</v>
      </c>
      <c r="CP117">
        <v>106</v>
      </c>
      <c r="CQ117">
        <v>108</v>
      </c>
      <c r="CR117">
        <v>110</v>
      </c>
      <c r="CS117">
        <v>5.88557565505086</v>
      </c>
      <c r="CT117">
        <v>197</v>
      </c>
      <c r="CU117">
        <v>106</v>
      </c>
      <c r="CV117">
        <v>5</v>
      </c>
      <c r="CW117">
        <v>159</v>
      </c>
      <c r="CX117">
        <v>3.5704624587284801</v>
      </c>
      <c r="CY117">
        <v>2.1338301070268599</v>
      </c>
      <c r="CZ117">
        <v>3.52820972886762</v>
      </c>
      <c r="DA117">
        <v>5.5919376151500499E-2</v>
      </c>
      <c r="DB117">
        <v>2.3696682464454898E-2</v>
      </c>
      <c r="DC117">
        <v>1.2582171604371</v>
      </c>
      <c r="DD117">
        <v>4.1797069347254103</v>
      </c>
      <c r="DE117">
        <v>1052.5109649122801</v>
      </c>
      <c r="DF117">
        <v>7.5059490650651498E-2</v>
      </c>
      <c r="DG117">
        <v>2.7353256924551E-3</v>
      </c>
      <c r="DH117">
        <v>212</v>
      </c>
      <c r="DI117">
        <v>103</v>
      </c>
      <c r="DJ117">
        <v>-227.5</v>
      </c>
      <c r="DK117">
        <v>109</v>
      </c>
      <c r="DL117">
        <v>0.51683294677734304</v>
      </c>
      <c r="DM117">
        <v>76.317192077636705</v>
      </c>
      <c r="DN117">
        <v>1.0399228515625001</v>
      </c>
      <c r="DO117">
        <v>63.728916168212798</v>
      </c>
      <c r="DP117">
        <v>53.098670959472599</v>
      </c>
      <c r="DQ117" t="s">
        <v>2259</v>
      </c>
      <c r="DR117" t="s">
        <v>2260</v>
      </c>
      <c r="DS117" t="s">
        <v>2261</v>
      </c>
      <c r="DT117" t="s">
        <v>2262</v>
      </c>
      <c r="DU117" t="s">
        <v>2256</v>
      </c>
      <c r="DV117" t="s">
        <v>2257</v>
      </c>
      <c r="DW117" t="s">
        <v>2263</v>
      </c>
      <c r="DX117">
        <v>1.7957907579685801E-2</v>
      </c>
      <c r="DY117">
        <v>105.622593220985</v>
      </c>
      <c r="DZ117">
        <v>24.368463734256299</v>
      </c>
      <c r="EA117">
        <v>7.8444599382911804</v>
      </c>
      <c r="EB117">
        <v>2.3614177412100399</v>
      </c>
      <c r="EC117">
        <v>3.5073680799145999</v>
      </c>
      <c r="ED117">
        <v>19.244207568955101</v>
      </c>
      <c r="EE117">
        <v>7.84445993829135</v>
      </c>
      <c r="EF117">
        <v>211.24518644196999</v>
      </c>
      <c r="EG117">
        <v>64.262302411433495</v>
      </c>
      <c r="EH117">
        <v>7.84260631790485</v>
      </c>
      <c r="EI117">
        <v>7.7660488837268098E-3</v>
      </c>
      <c r="EJ117">
        <v>31.545838416958901</v>
      </c>
      <c r="EK117">
        <v>3.5073680799145999</v>
      </c>
      <c r="EL117">
        <v>0.36556083589215199</v>
      </c>
      <c r="EM117">
        <v>0.97917211144988803</v>
      </c>
      <c r="EN117">
        <v>0.27927169169770499</v>
      </c>
      <c r="EO117">
        <v>0.99880738091808696</v>
      </c>
      <c r="EP117" s="2">
        <v>5.3769682783995099E-7</v>
      </c>
      <c r="EQ117">
        <v>0.35273231088808699</v>
      </c>
      <c r="ER117">
        <v>11164.7277432514</v>
      </c>
      <c r="ES117">
        <v>64.262302411433495</v>
      </c>
      <c r="ET117">
        <v>-373.61722663532498</v>
      </c>
      <c r="EU117">
        <v>117246.591532776</v>
      </c>
      <c r="EV117">
        <v>0.933155212746833</v>
      </c>
      <c r="EW117">
        <v>1.31969014489646</v>
      </c>
      <c r="EX117" s="2">
        <v>9.1562414888905094E-5</v>
      </c>
      <c r="EY117">
        <v>11101.9356695476</v>
      </c>
      <c r="EZ117" s="2">
        <v>8.5584220171200999E-5</v>
      </c>
      <c r="FA117">
        <v>10352.196174995001</v>
      </c>
      <c r="FB117" s="2">
        <v>1.20134009233582E-4</v>
      </c>
      <c r="FC117">
        <v>14689.3155048797</v>
      </c>
      <c r="FD117">
        <v>661.320569744659</v>
      </c>
      <c r="FE117">
        <v>7683.4563114018501</v>
      </c>
      <c r="FF117">
        <v>0.91107686173475599</v>
      </c>
      <c r="FG117" s="2">
        <v>7.6288663618415695E-4</v>
      </c>
      <c r="FH117">
        <v>2.3190118863512198E-2</v>
      </c>
      <c r="FI117">
        <v>8.2394113560348398E-2</v>
      </c>
      <c r="FJ117">
        <v>11050.3312549401</v>
      </c>
      <c r="FK117">
        <v>7.184019956237</v>
      </c>
      <c r="FL117">
        <v>0.70940802207097098</v>
      </c>
      <c r="FM117">
        <v>572.18134377038405</v>
      </c>
      <c r="FN117" s="2">
        <v>9.5467335181943005E-5</v>
      </c>
      <c r="FO117">
        <v>10902.110241356801</v>
      </c>
      <c r="FP117" s="2">
        <v>6.90058648547077E-5</v>
      </c>
      <c r="FQ117">
        <v>7682.3944761864104</v>
      </c>
      <c r="FR117">
        <v>5.0742342381703102E-2</v>
      </c>
      <c r="FS117">
        <v>6456351.8613828998</v>
      </c>
      <c r="FT117">
        <v>133.09458577951699</v>
      </c>
      <c r="FU117">
        <v>4.3409845329261898E-2</v>
      </c>
      <c r="FV117">
        <v>1427.6412263535501</v>
      </c>
      <c r="FW117">
        <v>0.46563640781263999</v>
      </c>
      <c r="FX117">
        <v>0.30562200956937802</v>
      </c>
      <c r="FY117">
        <v>89.095032145590807</v>
      </c>
      <c r="FZ117">
        <v>561.47525732004101</v>
      </c>
      <c r="GA117">
        <v>6.6484706181942901</v>
      </c>
    </row>
    <row r="118" spans="1:183" x14ac:dyDescent="0.2">
      <c r="A118" t="s">
        <v>2542</v>
      </c>
      <c r="B118" t="s">
        <v>182</v>
      </c>
      <c r="C118" t="s">
        <v>2264</v>
      </c>
      <c r="D118" s="1">
        <v>44105</v>
      </c>
      <c r="E118" t="s">
        <v>2265</v>
      </c>
      <c r="F118" t="s">
        <v>185</v>
      </c>
      <c r="G118" t="s">
        <v>186</v>
      </c>
      <c r="H118">
        <v>1</v>
      </c>
      <c r="I118">
        <v>400</v>
      </c>
      <c r="J118">
        <v>10</v>
      </c>
      <c r="K118" t="s">
        <v>187</v>
      </c>
      <c r="L118" t="s">
        <v>2059</v>
      </c>
      <c r="M118">
        <v>2</v>
      </c>
      <c r="N118">
        <v>0.68359375</v>
      </c>
      <c r="O118">
        <v>0.68359375</v>
      </c>
      <c r="P118" t="s">
        <v>2266</v>
      </c>
      <c r="Q118">
        <v>0</v>
      </c>
      <c r="R118" t="s">
        <v>194</v>
      </c>
      <c r="T118">
        <v>19522.954622904399</v>
      </c>
      <c r="U118">
        <v>19631.290435791001</v>
      </c>
      <c r="V118">
        <v>21005</v>
      </c>
      <c r="W118">
        <v>6451.3399419185598</v>
      </c>
      <c r="X118">
        <v>0.33044895439903299</v>
      </c>
      <c r="Y118">
        <v>26.541737243859799</v>
      </c>
      <c r="Z118">
        <v>2.1256693876670601E-2</v>
      </c>
      <c r="AA118">
        <v>0.160543853315156</v>
      </c>
      <c r="AB118">
        <v>1.83993341129324</v>
      </c>
      <c r="AC118">
        <v>0.54349792979579803</v>
      </c>
      <c r="AD118">
        <v>0.83993341129324395</v>
      </c>
      <c r="AE118" t="s">
        <v>2267</v>
      </c>
      <c r="AF118" t="s">
        <v>2268</v>
      </c>
      <c r="AG118" t="s">
        <v>2269</v>
      </c>
      <c r="AH118" t="s">
        <v>193</v>
      </c>
      <c r="AI118" t="s">
        <v>193</v>
      </c>
      <c r="AJ118" t="s">
        <v>193</v>
      </c>
      <c r="AK118" t="s">
        <v>193</v>
      </c>
      <c r="AL118" t="s">
        <v>193</v>
      </c>
      <c r="AM118" t="s">
        <v>193</v>
      </c>
      <c r="AN118" t="s">
        <v>193</v>
      </c>
      <c r="AO118" t="s">
        <v>193</v>
      </c>
      <c r="AP118" t="s">
        <v>193</v>
      </c>
      <c r="AQ118">
        <v>0.15702656739212401</v>
      </c>
      <c r="AR118" t="s">
        <v>193</v>
      </c>
      <c r="AS118" t="s">
        <v>193</v>
      </c>
      <c r="AT118">
        <v>55.897253942855201</v>
      </c>
      <c r="AU118" t="s">
        <v>193</v>
      </c>
      <c r="AV118" s="2">
        <v>14215077.327886701</v>
      </c>
      <c r="AW118">
        <v>58.121209235895897</v>
      </c>
      <c r="AX118">
        <v>4035.8442942768402</v>
      </c>
      <c r="AY118">
        <v>-3.1742934545355701</v>
      </c>
      <c r="AZ118">
        <v>15.3568182085823</v>
      </c>
      <c r="BA118">
        <v>72</v>
      </c>
      <c r="BB118">
        <v>-670</v>
      </c>
      <c r="BC118">
        <v>-1</v>
      </c>
      <c r="BD118">
        <v>49</v>
      </c>
      <c r="BE118">
        <v>72</v>
      </c>
      <c r="BF118">
        <v>90</v>
      </c>
      <c r="BG118">
        <v>107</v>
      </c>
      <c r="BH118">
        <v>63.528295225645998</v>
      </c>
      <c r="BI118">
        <v>198</v>
      </c>
      <c r="BJ118">
        <v>41</v>
      </c>
      <c r="BK118">
        <v>868</v>
      </c>
      <c r="BL118">
        <v>38.367887361580003</v>
      </c>
      <c r="BM118">
        <v>18.4021671713522</v>
      </c>
      <c r="BN118">
        <v>36.040180909307303</v>
      </c>
      <c r="BO118">
        <v>1.0930312025650399</v>
      </c>
      <c r="BP118">
        <v>0.29496402877697803</v>
      </c>
      <c r="BQ118" t="s">
        <v>194</v>
      </c>
      <c r="BR118" s="2">
        <v>155729374</v>
      </c>
      <c r="BS118">
        <v>86.104118701254194</v>
      </c>
      <c r="BT118">
        <v>1140.9943389892501</v>
      </c>
      <c r="BU118">
        <v>6311.04787190755</v>
      </c>
      <c r="BV118">
        <v>0.51309582519531205</v>
      </c>
      <c r="BW118">
        <v>99.994537353515597</v>
      </c>
      <c r="BX118">
        <v>1.03460314941406</v>
      </c>
      <c r="BY118">
        <v>95.374885559082003</v>
      </c>
      <c r="BZ118">
        <v>103.387321472167</v>
      </c>
      <c r="CA118" t="s">
        <v>2270</v>
      </c>
      <c r="CB118" t="s">
        <v>2271</v>
      </c>
      <c r="CC118" t="s">
        <v>2272</v>
      </c>
      <c r="CD118" t="s">
        <v>2273</v>
      </c>
      <c r="CE118" t="s">
        <v>2274</v>
      </c>
      <c r="CF118" t="s">
        <v>2275</v>
      </c>
      <c r="CG118" t="s">
        <v>2276</v>
      </c>
      <c r="CH118">
        <v>106.35981909069299</v>
      </c>
      <c r="CI118">
        <v>40.432110798026699</v>
      </c>
      <c r="CJ118">
        <v>-3.1608642998101399</v>
      </c>
      <c r="CK118">
        <v>15.2466228625502</v>
      </c>
      <c r="CL118">
        <v>108</v>
      </c>
      <c r="CM118">
        <v>34</v>
      </c>
      <c r="CN118">
        <v>100</v>
      </c>
      <c r="CO118">
        <v>105</v>
      </c>
      <c r="CP118">
        <v>108</v>
      </c>
      <c r="CQ118">
        <v>110</v>
      </c>
      <c r="CR118">
        <v>111</v>
      </c>
      <c r="CS118">
        <v>6.3586249140853299</v>
      </c>
      <c r="CT118">
        <v>120</v>
      </c>
      <c r="CU118">
        <v>108</v>
      </c>
      <c r="CV118">
        <v>5</v>
      </c>
      <c r="CW118">
        <v>86</v>
      </c>
      <c r="CX118">
        <v>3.85399222966441</v>
      </c>
      <c r="CY118">
        <v>1.9548221607632501</v>
      </c>
      <c r="CZ118">
        <v>3.6035229707212499</v>
      </c>
      <c r="DA118">
        <v>5.9784089221356501E-2</v>
      </c>
      <c r="DB118">
        <v>2.3255813953488299E-2</v>
      </c>
      <c r="DC118">
        <v>1.22769894925846</v>
      </c>
      <c r="DD118">
        <v>4.07832763160539</v>
      </c>
      <c r="DE118">
        <v>1063.5981909069401</v>
      </c>
      <c r="DF118">
        <v>8.5542510055160198E-2</v>
      </c>
      <c r="DG118">
        <v>2.01803944978967E-3</v>
      </c>
      <c r="DH118">
        <v>637</v>
      </c>
      <c r="DI118">
        <v>105</v>
      </c>
      <c r="DJ118">
        <v>-612</v>
      </c>
      <c r="DK118">
        <v>110</v>
      </c>
      <c r="DL118">
        <v>0.51309582519531205</v>
      </c>
      <c r="DM118">
        <v>99.994537353515597</v>
      </c>
      <c r="DN118">
        <v>1.03460314941406</v>
      </c>
      <c r="DO118">
        <v>95.374885559082003</v>
      </c>
      <c r="DP118">
        <v>103.387321472167</v>
      </c>
      <c r="DQ118" t="s">
        <v>2277</v>
      </c>
      <c r="DR118" t="s">
        <v>2278</v>
      </c>
      <c r="DS118" t="s">
        <v>2279</v>
      </c>
      <c r="DT118" t="s">
        <v>2280</v>
      </c>
      <c r="DU118" t="s">
        <v>2274</v>
      </c>
      <c r="DV118" t="s">
        <v>2275</v>
      </c>
      <c r="DW118" t="s">
        <v>2281</v>
      </c>
      <c r="DX118">
        <v>3.2982819780423403E-2</v>
      </c>
      <c r="DY118">
        <v>107.08362191720801</v>
      </c>
      <c r="DZ118">
        <v>26.398768941488498</v>
      </c>
      <c r="EA118">
        <v>7.3595292123264997</v>
      </c>
      <c r="EB118">
        <v>2.21543904687559</v>
      </c>
      <c r="EC118">
        <v>2.92544846355417</v>
      </c>
      <c r="ED118">
        <v>19.8436875374362</v>
      </c>
      <c r="EE118">
        <v>7.3595292123264304</v>
      </c>
      <c r="EF118">
        <v>214.16724383441601</v>
      </c>
      <c r="EG118">
        <v>22.6348646047575</v>
      </c>
      <c r="EH118">
        <v>0.128690244914304</v>
      </c>
      <c r="EI118">
        <v>1.3201765448330301E-2</v>
      </c>
      <c r="EJ118">
        <v>28.4019362503475</v>
      </c>
      <c r="EK118">
        <v>2.92544846355417</v>
      </c>
      <c r="EL118">
        <v>0.45632540769301</v>
      </c>
      <c r="EM118">
        <v>0.96949765650376796</v>
      </c>
      <c r="EN118">
        <v>0.39354082829054998</v>
      </c>
      <c r="EO118">
        <v>0.99645993737514804</v>
      </c>
      <c r="EP118" s="2">
        <v>9.5225823039774406E-8</v>
      </c>
      <c r="EQ118">
        <v>0.46205945600533299</v>
      </c>
      <c r="ER118">
        <v>11479.0998837238</v>
      </c>
      <c r="ES118">
        <v>22.6348646047575</v>
      </c>
      <c r="ET118">
        <v>-1981.1224527960301</v>
      </c>
      <c r="EU118">
        <v>113307.515463401</v>
      </c>
      <c r="EV118">
        <v>0.88052907819669701</v>
      </c>
      <c r="EW118">
        <v>1.7161587243024099</v>
      </c>
      <c r="EX118" s="2">
        <v>9.0622432512417497E-5</v>
      </c>
      <c r="EY118">
        <v>11282.6727346031</v>
      </c>
      <c r="EZ118" s="2">
        <v>8.0390705517810495E-5</v>
      </c>
      <c r="FA118">
        <v>9884.0166514930497</v>
      </c>
      <c r="FB118" s="2">
        <v>1.51923550164391E-4</v>
      </c>
      <c r="FC118">
        <v>19667.967569148601</v>
      </c>
      <c r="FD118">
        <v>1395.44870318944</v>
      </c>
      <c r="FE118">
        <v>13023.4730912946</v>
      </c>
      <c r="FF118">
        <v>0.838272938677604</v>
      </c>
      <c r="FG118" s="2">
        <v>4.0621705576986502E-4</v>
      </c>
      <c r="FH118">
        <v>3.4753943589579298E-2</v>
      </c>
      <c r="FI118">
        <v>0.187153704762171</v>
      </c>
      <c r="FJ118">
        <v>7301.40190915332</v>
      </c>
      <c r="FK118">
        <v>3.34508752481362</v>
      </c>
      <c r="FL118">
        <v>0.77375603706444795</v>
      </c>
      <c r="FM118">
        <v>4776.9383333333299</v>
      </c>
      <c r="FN118" s="2">
        <v>1.0524626568797299E-4</v>
      </c>
      <c r="FO118">
        <v>10046.884761904699</v>
      </c>
      <c r="FP118" s="2">
        <v>8.4501736111150004E-5</v>
      </c>
      <c r="FQ118">
        <v>7530.9280301963399</v>
      </c>
      <c r="FR118">
        <v>0.40806658247468103</v>
      </c>
      <c r="FS118" s="2">
        <v>55954528.213809498</v>
      </c>
      <c r="FT118">
        <v>145.021428571428</v>
      </c>
      <c r="FU118">
        <v>3.45289115646258E-2</v>
      </c>
      <c r="FV118">
        <v>2341.2461904761899</v>
      </c>
      <c r="FW118">
        <v>0.55743956916099702</v>
      </c>
      <c r="FX118">
        <v>0.19995239228754999</v>
      </c>
      <c r="FY118">
        <v>107.744263038548</v>
      </c>
      <c r="FZ118">
        <v>4751.9264271541897</v>
      </c>
      <c r="GA118">
        <v>6.5569804921069998</v>
      </c>
    </row>
    <row r="119" spans="1:183" x14ac:dyDescent="0.2">
      <c r="A119" t="s">
        <v>2543</v>
      </c>
      <c r="B119" t="s">
        <v>182</v>
      </c>
      <c r="C119" t="s">
        <v>2282</v>
      </c>
      <c r="D119" s="1">
        <v>43684</v>
      </c>
      <c r="E119" t="s">
        <v>2096</v>
      </c>
      <c r="F119" t="s">
        <v>185</v>
      </c>
      <c r="G119" t="s">
        <v>186</v>
      </c>
      <c r="H119">
        <v>1</v>
      </c>
      <c r="I119">
        <v>400</v>
      </c>
      <c r="J119">
        <v>10</v>
      </c>
      <c r="K119" t="s">
        <v>187</v>
      </c>
      <c r="L119" t="s">
        <v>2283</v>
      </c>
      <c r="M119">
        <v>2</v>
      </c>
      <c r="N119">
        <v>0.828125</v>
      </c>
      <c r="O119">
        <v>0.828125</v>
      </c>
      <c r="P119" t="s">
        <v>2284</v>
      </c>
      <c r="Q119">
        <v>0</v>
      </c>
      <c r="R119" t="s">
        <v>194</v>
      </c>
      <c r="T119">
        <v>42240.954711913997</v>
      </c>
      <c r="U119">
        <v>42355.824707031199</v>
      </c>
      <c r="V119">
        <v>30881</v>
      </c>
      <c r="W119">
        <v>9769.7449231045193</v>
      </c>
      <c r="X119">
        <v>0.231286082185755</v>
      </c>
      <c r="Y119">
        <v>22.860783567472101</v>
      </c>
      <c r="Z119">
        <v>2.4679363324646601E-2</v>
      </c>
      <c r="AA119">
        <v>0.216406424399434</v>
      </c>
      <c r="AB119">
        <v>1.6656226457636201</v>
      </c>
      <c r="AC119">
        <v>0.60037608310827195</v>
      </c>
      <c r="AD119">
        <v>0.66562264576361896</v>
      </c>
      <c r="AE119" t="s">
        <v>2285</v>
      </c>
      <c r="AF119" t="s">
        <v>2286</v>
      </c>
      <c r="AG119" t="s">
        <v>2287</v>
      </c>
      <c r="AH119" t="s">
        <v>193</v>
      </c>
      <c r="AI119" t="s">
        <v>193</v>
      </c>
      <c r="AJ119" t="s">
        <v>193</v>
      </c>
      <c r="AK119" t="s">
        <v>193</v>
      </c>
      <c r="AL119" t="s">
        <v>193</v>
      </c>
      <c r="AM119" t="s">
        <v>193</v>
      </c>
      <c r="AN119" t="s">
        <v>193</v>
      </c>
      <c r="AO119" t="s">
        <v>193</v>
      </c>
      <c r="AP119" t="s">
        <v>193</v>
      </c>
      <c r="AQ119">
        <v>0.106841590370769</v>
      </c>
      <c r="AR119" t="s">
        <v>193</v>
      </c>
      <c r="AS119" t="s">
        <v>193</v>
      </c>
      <c r="AT119">
        <v>61.967446918031499</v>
      </c>
      <c r="AU119" t="s">
        <v>193</v>
      </c>
      <c r="AV119" s="2">
        <v>35722442.636048503</v>
      </c>
      <c r="AW119">
        <v>38.682652763835598</v>
      </c>
      <c r="AX119">
        <v>3011.18046685945</v>
      </c>
      <c r="AY119">
        <v>-3.6528971979812699</v>
      </c>
      <c r="AZ119">
        <v>26.051375137806399</v>
      </c>
      <c r="BA119">
        <v>49</v>
      </c>
      <c r="BB119">
        <v>-807</v>
      </c>
      <c r="BC119">
        <v>-10</v>
      </c>
      <c r="BD119">
        <v>27</v>
      </c>
      <c r="BE119">
        <v>49</v>
      </c>
      <c r="BF119">
        <v>67</v>
      </c>
      <c r="BG119">
        <v>82</v>
      </c>
      <c r="BH119">
        <v>54.874224066126402</v>
      </c>
      <c r="BI119">
        <v>340</v>
      </c>
      <c r="BJ119">
        <v>40</v>
      </c>
      <c r="BK119">
        <v>1147</v>
      </c>
      <c r="BL119">
        <v>33.122897953950698</v>
      </c>
      <c r="BM119">
        <v>17.253854579053201</v>
      </c>
      <c r="BN119">
        <v>31.724814610925801</v>
      </c>
      <c r="BO119">
        <v>1.4185744809473899</v>
      </c>
      <c r="BP119">
        <v>0.42553191489361702</v>
      </c>
      <c r="BQ119" t="s">
        <v>194</v>
      </c>
      <c r="BR119" s="2">
        <v>139196975</v>
      </c>
      <c r="BS119">
        <v>67.138126960072896</v>
      </c>
      <c r="BT119">
        <v>1638.43565966798</v>
      </c>
      <c r="BU119">
        <v>32646.8527018229</v>
      </c>
      <c r="BV119">
        <v>0.51708642578124997</v>
      </c>
      <c r="BW119">
        <v>77.259948730468693</v>
      </c>
      <c r="BX119">
        <v>1.06297607421875</v>
      </c>
      <c r="BY119">
        <v>70.921287536621094</v>
      </c>
      <c r="BZ119">
        <v>37.701572418212798</v>
      </c>
      <c r="CA119" t="s">
        <v>2288</v>
      </c>
      <c r="CB119" t="s">
        <v>2289</v>
      </c>
      <c r="CC119" t="s">
        <v>2290</v>
      </c>
      <c r="CD119" t="s">
        <v>2291</v>
      </c>
      <c r="CE119" t="s">
        <v>2292</v>
      </c>
      <c r="CF119" t="s">
        <v>2293</v>
      </c>
      <c r="CG119" t="s">
        <v>2294</v>
      </c>
      <c r="CH119">
        <v>104.415692497004</v>
      </c>
      <c r="CI119">
        <v>30.190173744889801</v>
      </c>
      <c r="CJ119">
        <v>-3.6383074652766201</v>
      </c>
      <c r="CK119">
        <v>25.926396538858199</v>
      </c>
      <c r="CL119">
        <v>105</v>
      </c>
      <c r="CM119">
        <v>20</v>
      </c>
      <c r="CN119">
        <v>100</v>
      </c>
      <c r="CO119">
        <v>103</v>
      </c>
      <c r="CP119">
        <v>105</v>
      </c>
      <c r="CQ119">
        <v>107</v>
      </c>
      <c r="CR119">
        <v>109</v>
      </c>
      <c r="CS119">
        <v>5.4945585577814899</v>
      </c>
      <c r="CT119">
        <v>135</v>
      </c>
      <c r="CU119">
        <v>106</v>
      </c>
      <c r="CV119">
        <v>4</v>
      </c>
      <c r="CW119">
        <v>115</v>
      </c>
      <c r="CX119">
        <v>3.3322303955716301</v>
      </c>
      <c r="CY119">
        <v>1.82675133894571</v>
      </c>
      <c r="CZ119">
        <v>3.1861014863508301</v>
      </c>
      <c r="DA119">
        <v>5.2621961569034599E-2</v>
      </c>
      <c r="DB119">
        <v>1.9047619047619001E-2</v>
      </c>
      <c r="DC119">
        <v>1.1922902598957701</v>
      </c>
      <c r="DD119">
        <v>3.9607025116083401</v>
      </c>
      <c r="DE119">
        <v>1044.1569249700401</v>
      </c>
      <c r="DF119">
        <v>9.03414410267942E-2</v>
      </c>
      <c r="DG119">
        <v>1.71040055640941E-3</v>
      </c>
      <c r="DH119">
        <v>962</v>
      </c>
      <c r="DI119">
        <v>104</v>
      </c>
      <c r="DJ119">
        <v>-1101</v>
      </c>
      <c r="DK119">
        <v>108</v>
      </c>
      <c r="DL119">
        <v>0.51708642578124997</v>
      </c>
      <c r="DM119">
        <v>77.259948730468693</v>
      </c>
      <c r="DN119">
        <v>1.06297607421875</v>
      </c>
      <c r="DO119">
        <v>70.921287536621094</v>
      </c>
      <c r="DP119">
        <v>37.701572418212798</v>
      </c>
      <c r="DQ119" t="s">
        <v>2295</v>
      </c>
      <c r="DR119" t="s">
        <v>2296</v>
      </c>
      <c r="DS119" t="s">
        <v>2297</v>
      </c>
      <c r="DT119" t="s">
        <v>2298</v>
      </c>
      <c r="DU119" t="s">
        <v>2292</v>
      </c>
      <c r="DV119" t="s">
        <v>2293</v>
      </c>
      <c r="DW119" t="s">
        <v>2299</v>
      </c>
      <c r="DX119">
        <v>2.9135886737198999E-2</v>
      </c>
      <c r="DY119">
        <v>104.99519447777701</v>
      </c>
      <c r="DZ119">
        <v>20.0101631828691</v>
      </c>
      <c r="EA119">
        <v>7.3249121535175501</v>
      </c>
      <c r="EB119">
        <v>2.20501827381243</v>
      </c>
      <c r="EC119">
        <v>2.8458104433410698</v>
      </c>
      <c r="ED119">
        <v>13.215373247214201</v>
      </c>
      <c r="EE119">
        <v>7.3249121535172099</v>
      </c>
      <c r="EF119">
        <v>209.99038895555501</v>
      </c>
      <c r="EG119">
        <v>58.1199506296782</v>
      </c>
      <c r="EH119">
        <v>7.3120840563128997</v>
      </c>
      <c r="EI119">
        <v>1.2124674684344101E-2</v>
      </c>
      <c r="EJ119">
        <v>21.314010326643299</v>
      </c>
      <c r="EK119">
        <v>2.8458104433410698</v>
      </c>
      <c r="EL119">
        <v>0.417262497910386</v>
      </c>
      <c r="EM119">
        <v>0.97686803429757096</v>
      </c>
      <c r="EN119">
        <v>0.34071702379111801</v>
      </c>
      <c r="EO119">
        <v>0.99846270696183304</v>
      </c>
      <c r="EP119" s="2">
        <v>3.0837953261956898E-7</v>
      </c>
      <c r="EQ119">
        <v>0.46742037703894002</v>
      </c>
      <c r="ER119">
        <v>11033.344021445901</v>
      </c>
      <c r="ES119">
        <v>58.1199506296782</v>
      </c>
      <c r="ET119">
        <v>-1487.40553920816</v>
      </c>
      <c r="EU119">
        <v>101231.35093965</v>
      </c>
      <c r="EV119">
        <v>0.90136510182090102</v>
      </c>
      <c r="EW119">
        <v>1.5224528884450099</v>
      </c>
      <c r="EX119" s="2">
        <v>9.3501884461794302E-5</v>
      </c>
      <c r="EY119">
        <v>10895.885905075</v>
      </c>
      <c r="EZ119" s="2">
        <v>8.4648971548335197E-5</v>
      </c>
      <c r="FA119">
        <v>9794.0791602454701</v>
      </c>
      <c r="FB119" s="2">
        <v>1.40351934129866E-4</v>
      </c>
      <c r="FC119">
        <v>16735.437406311299</v>
      </c>
      <c r="FD119">
        <v>2276.8101822690801</v>
      </c>
      <c r="FE119">
        <v>20778.173676627801</v>
      </c>
      <c r="FF119">
        <v>0.86805678373308903</v>
      </c>
      <c r="FG119" s="2">
        <v>2.6323733039636E-4</v>
      </c>
      <c r="FH119">
        <v>1.6113825322298901E-2</v>
      </c>
      <c r="FI119">
        <v>0.23392207903643999</v>
      </c>
      <c r="FJ119">
        <v>9449.9428100559999</v>
      </c>
      <c r="FK119">
        <v>3.5013136513438998</v>
      </c>
      <c r="FL119">
        <v>0.72267399453430303</v>
      </c>
      <c r="FM119">
        <v>8730.44174053182</v>
      </c>
      <c r="FN119" s="2">
        <v>1.0463206771718099E-4</v>
      </c>
      <c r="FO119">
        <v>10104.9076551168</v>
      </c>
      <c r="FP119" s="2">
        <v>7.8339580114714495E-5</v>
      </c>
      <c r="FQ119">
        <v>7134.6252438317097</v>
      </c>
      <c r="FR119">
        <v>0.77839962259722895</v>
      </c>
      <c r="FS119" s="2">
        <v>97971623.749395594</v>
      </c>
      <c r="FT119">
        <v>250.984528605962</v>
      </c>
      <c r="FU119">
        <v>4.0448755617399301E-2</v>
      </c>
      <c r="FV119">
        <v>2998.6209508460902</v>
      </c>
      <c r="FW119">
        <v>0.48325881560775003</v>
      </c>
      <c r="FX119">
        <v>0.200932612285871</v>
      </c>
      <c r="FY119">
        <v>91.365603757204994</v>
      </c>
      <c r="FZ119">
        <v>8705.6732728733095</v>
      </c>
      <c r="GA119">
        <v>6.6401426960235899</v>
      </c>
    </row>
    <row r="120" spans="1:183" x14ac:dyDescent="0.2">
      <c r="A120" t="s">
        <v>2544</v>
      </c>
      <c r="B120" t="s">
        <v>182</v>
      </c>
      <c r="C120" t="s">
        <v>2300</v>
      </c>
      <c r="D120" s="1">
        <v>43834</v>
      </c>
      <c r="E120" t="s">
        <v>2265</v>
      </c>
      <c r="F120" t="s">
        <v>185</v>
      </c>
      <c r="G120" t="s">
        <v>186</v>
      </c>
      <c r="H120">
        <v>1</v>
      </c>
      <c r="I120">
        <v>400</v>
      </c>
      <c r="J120">
        <v>10</v>
      </c>
      <c r="K120" t="s">
        <v>187</v>
      </c>
      <c r="L120" t="s">
        <v>2301</v>
      </c>
      <c r="M120">
        <v>2</v>
      </c>
      <c r="N120">
        <v>0.68359375</v>
      </c>
      <c r="O120">
        <v>0.68359375</v>
      </c>
      <c r="P120" t="s">
        <v>2302</v>
      </c>
      <c r="Q120">
        <v>0</v>
      </c>
      <c r="R120" t="s">
        <v>194</v>
      </c>
      <c r="T120">
        <v>10906.7138036092</v>
      </c>
      <c r="U120">
        <v>11064.7392272949</v>
      </c>
      <c r="V120">
        <v>11839</v>
      </c>
      <c r="W120">
        <v>8239.0403976597208</v>
      </c>
      <c r="X120">
        <v>0.75540997462803905</v>
      </c>
      <c r="Y120">
        <v>68.567928813302601</v>
      </c>
      <c r="Z120">
        <v>8.2281847113092298E-3</v>
      </c>
      <c r="AA120">
        <v>2.4055274164254601E-2</v>
      </c>
      <c r="AB120">
        <v>3.4641489949288098</v>
      </c>
      <c r="AC120">
        <v>0.28867118633289202</v>
      </c>
      <c r="AD120">
        <v>2.4641489949288098</v>
      </c>
      <c r="AE120" t="s">
        <v>2303</v>
      </c>
      <c r="AF120" t="s">
        <v>2304</v>
      </c>
      <c r="AG120" t="s">
        <v>2305</v>
      </c>
      <c r="AH120" t="s">
        <v>193</v>
      </c>
      <c r="AI120" t="s">
        <v>193</v>
      </c>
      <c r="AJ120" t="s">
        <v>193</v>
      </c>
      <c r="AK120" t="s">
        <v>193</v>
      </c>
      <c r="AL120" t="s">
        <v>193</v>
      </c>
      <c r="AM120" t="s">
        <v>193</v>
      </c>
      <c r="AN120" t="s">
        <v>193</v>
      </c>
      <c r="AO120" t="s">
        <v>193</v>
      </c>
      <c r="AP120" t="s">
        <v>193</v>
      </c>
      <c r="AQ120">
        <v>0.22525830081152701</v>
      </c>
      <c r="AR120" t="s">
        <v>193</v>
      </c>
      <c r="AS120" t="s">
        <v>193</v>
      </c>
      <c r="AT120">
        <v>92.4933902544023</v>
      </c>
      <c r="AU120" t="s">
        <v>193</v>
      </c>
      <c r="AV120">
        <v>9294997.4098867904</v>
      </c>
      <c r="AW120">
        <v>10.227130669819999</v>
      </c>
      <c r="AX120">
        <v>15110.666631103</v>
      </c>
      <c r="AY120">
        <v>-2.9766854854883502</v>
      </c>
      <c r="AZ120">
        <v>11.2809709748133</v>
      </c>
      <c r="BA120">
        <v>41</v>
      </c>
      <c r="BB120">
        <v>-842</v>
      </c>
      <c r="BC120">
        <v>-88</v>
      </c>
      <c r="BD120">
        <v>-6</v>
      </c>
      <c r="BE120">
        <v>41</v>
      </c>
      <c r="BF120">
        <v>77</v>
      </c>
      <c r="BG120">
        <v>101</v>
      </c>
      <c r="BH120">
        <v>122.925451518809</v>
      </c>
      <c r="BI120">
        <v>439</v>
      </c>
      <c r="BJ120">
        <v>83</v>
      </c>
      <c r="BK120">
        <v>1281</v>
      </c>
      <c r="BL120">
        <v>75.076949922791101</v>
      </c>
      <c r="BM120">
        <v>35.8257411496079</v>
      </c>
      <c r="BN120">
        <v>69.2561871779711</v>
      </c>
      <c r="BO120">
        <v>12.0195444340569</v>
      </c>
      <c r="BP120">
        <v>1.16901408450704</v>
      </c>
      <c r="BQ120" t="s">
        <v>194</v>
      </c>
      <c r="BR120" s="2">
        <v>180133473</v>
      </c>
      <c r="BS120">
        <v>123.350155382312</v>
      </c>
      <c r="BT120">
        <v>113.160533905029</v>
      </c>
      <c r="BU120">
        <v>3878.5934448242101</v>
      </c>
      <c r="BV120">
        <v>0.51309582519531205</v>
      </c>
      <c r="BW120" t="s">
        <v>194</v>
      </c>
      <c r="BX120">
        <v>1.03460314941406</v>
      </c>
      <c r="BY120" t="s">
        <v>194</v>
      </c>
      <c r="BZ120">
        <v>55.721275329589801</v>
      </c>
      <c r="CA120" t="s">
        <v>2306</v>
      </c>
      <c r="CB120" t="s">
        <v>2307</v>
      </c>
      <c r="CC120" t="s">
        <v>2308</v>
      </c>
      <c r="CD120" t="s">
        <v>2309</v>
      </c>
      <c r="CE120" t="s">
        <v>2310</v>
      </c>
      <c r="CF120" t="s">
        <v>2311</v>
      </c>
      <c r="CG120" t="s">
        <v>2312</v>
      </c>
      <c r="CH120">
        <v>101.57335923642199</v>
      </c>
      <c r="CI120">
        <v>151.24301355715599</v>
      </c>
      <c r="CJ120">
        <v>-2.9736688712398198</v>
      </c>
      <c r="CK120">
        <v>11.2735922297174</v>
      </c>
      <c r="CL120">
        <v>105</v>
      </c>
      <c r="CM120">
        <v>16</v>
      </c>
      <c r="CN120">
        <v>92</v>
      </c>
      <c r="CO120">
        <v>100</v>
      </c>
      <c r="CP120">
        <v>105</v>
      </c>
      <c r="CQ120">
        <v>108</v>
      </c>
      <c r="CR120">
        <v>111</v>
      </c>
      <c r="CS120">
        <v>12.298089833675601</v>
      </c>
      <c r="CT120">
        <v>144</v>
      </c>
      <c r="CU120">
        <v>106</v>
      </c>
      <c r="CV120">
        <v>8</v>
      </c>
      <c r="CW120">
        <v>128</v>
      </c>
      <c r="CX120">
        <v>7.5161917622401804</v>
      </c>
      <c r="CY120">
        <v>3.72792330928127</v>
      </c>
      <c r="CZ120">
        <v>6.9314975927020797</v>
      </c>
      <c r="DA120">
        <v>0.12107593886946801</v>
      </c>
      <c r="DB120">
        <v>3.8461538461538401E-2</v>
      </c>
      <c r="DC120">
        <v>1.4772992599434001</v>
      </c>
      <c r="DD120">
        <v>4.9074819161622898</v>
      </c>
      <c r="DE120">
        <v>1015.7335923642401</v>
      </c>
      <c r="DF120">
        <v>4.7051160207771399E-2</v>
      </c>
      <c r="DG120">
        <v>1.99355241245338E-3</v>
      </c>
      <c r="DH120">
        <v>88.5</v>
      </c>
      <c r="DI120">
        <v>103</v>
      </c>
      <c r="DJ120">
        <v>-204</v>
      </c>
      <c r="DK120">
        <v>112</v>
      </c>
      <c r="DL120">
        <v>0.51309582519531205</v>
      </c>
      <c r="DM120" t="s">
        <v>194</v>
      </c>
      <c r="DN120">
        <v>1.03460314941406</v>
      </c>
      <c r="DO120" t="s">
        <v>194</v>
      </c>
      <c r="DP120">
        <v>55.721275329589801</v>
      </c>
      <c r="DQ120" t="s">
        <v>2313</v>
      </c>
      <c r="DR120" t="s">
        <v>2314</v>
      </c>
      <c r="DS120" t="s">
        <v>2315</v>
      </c>
      <c r="DT120" t="s">
        <v>2316</v>
      </c>
      <c r="DU120" t="s">
        <v>2310</v>
      </c>
      <c r="DV120" t="s">
        <v>2311</v>
      </c>
      <c r="DW120" t="s">
        <v>2317</v>
      </c>
      <c r="DX120">
        <v>1.16359011378089E-2</v>
      </c>
      <c r="DY120">
        <v>103.401000309374</v>
      </c>
      <c r="DZ120">
        <v>95.769787250042796</v>
      </c>
      <c r="EA120">
        <v>8.8040003888211409</v>
      </c>
      <c r="EB120">
        <v>2.6502681988724901</v>
      </c>
      <c r="EC120">
        <v>5.0228249286721001</v>
      </c>
      <c r="ED120">
        <v>64.595797471635805</v>
      </c>
      <c r="EE120">
        <v>8.8040003888211906</v>
      </c>
      <c r="EF120">
        <v>206.802000618748</v>
      </c>
      <c r="EG120">
        <v>292.92242067115399</v>
      </c>
      <c r="EH120">
        <v>8.8024682753436707</v>
      </c>
      <c r="EI120">
        <v>4.7006023130841696E-3</v>
      </c>
      <c r="EJ120">
        <v>89.824567735726205</v>
      </c>
      <c r="EK120">
        <v>5.0228249286721001</v>
      </c>
      <c r="EL120">
        <v>0.36730129757183899</v>
      </c>
      <c r="EM120">
        <v>0.96543781886939495</v>
      </c>
      <c r="EN120">
        <v>0.29052705752284302</v>
      </c>
      <c r="EO120">
        <v>0.99496649420375405</v>
      </c>
      <c r="EP120" s="2">
        <v>1.01784779942504E-4</v>
      </c>
      <c r="EQ120">
        <v>0.53103911831188899</v>
      </c>
      <c r="ER120">
        <v>10742.624368361299</v>
      </c>
      <c r="ES120">
        <v>292.92242067115399</v>
      </c>
      <c r="ET120">
        <v>-16155.2713561624</v>
      </c>
      <c r="EU120">
        <v>1619854.41879293</v>
      </c>
      <c r="EV120">
        <v>0.93064975865777599</v>
      </c>
      <c r="EW120">
        <v>1.3667541667658201</v>
      </c>
      <c r="EX120" s="2">
        <v>1.1160950232119801E-4</v>
      </c>
      <c r="EY120">
        <v>10385.500313337299</v>
      </c>
      <c r="EZ120" s="2">
        <v>1.05345576704146E-4</v>
      </c>
      <c r="FA120">
        <v>9606.8503251468592</v>
      </c>
      <c r="FB120" s="2">
        <v>1.44602817921048E-4</v>
      </c>
      <c r="FC120">
        <v>14512.364828740499</v>
      </c>
      <c r="FD120">
        <v>487.18615160035398</v>
      </c>
      <c r="FE120">
        <v>9022.7661688631506</v>
      </c>
      <c r="FF120">
        <v>0.90604715834887295</v>
      </c>
      <c r="FG120" s="2">
        <v>8.2872419259794798E-4</v>
      </c>
      <c r="FH120">
        <v>8.4880543750723098E-2</v>
      </c>
      <c r="FI120">
        <v>6.2126826579519998E-2</v>
      </c>
      <c r="FJ120">
        <v>24469.8536979567</v>
      </c>
      <c r="FK120">
        <v>10.6383906217443</v>
      </c>
      <c r="FL120">
        <v>0.74372971418121803</v>
      </c>
      <c r="FM120">
        <v>170.61244377810999</v>
      </c>
      <c r="FN120" s="2">
        <v>1.4484773940693301E-4</v>
      </c>
      <c r="FO120">
        <v>9188.6759120439692</v>
      </c>
      <c r="FP120" s="2">
        <v>1.19033672170179E-4</v>
      </c>
      <c r="FQ120">
        <v>6484.0488964973802</v>
      </c>
      <c r="FR120">
        <v>1.48665174696613E-2</v>
      </c>
      <c r="FS120">
        <v>1970818.7153922999</v>
      </c>
      <c r="FT120">
        <v>111.525737131434</v>
      </c>
      <c r="FU120">
        <v>2.7867500532592199E-2</v>
      </c>
      <c r="FV120">
        <v>2060.56571714142</v>
      </c>
      <c r="FW120">
        <v>0.51488398729171103</v>
      </c>
      <c r="FX120">
        <v>0.33803530703606699</v>
      </c>
      <c r="FY120">
        <v>306.15507045327797</v>
      </c>
      <c r="FZ120">
        <v>161.86107726995999</v>
      </c>
      <c r="GA120">
        <v>7.2359210693274401</v>
      </c>
    </row>
    <row r="121" spans="1:183" x14ac:dyDescent="0.2">
      <c r="A121" t="s">
        <v>2545</v>
      </c>
      <c r="B121" t="s">
        <v>182</v>
      </c>
      <c r="C121" t="s">
        <v>2318</v>
      </c>
      <c r="D121" s="1">
        <v>43780</v>
      </c>
      <c r="E121" t="s">
        <v>2319</v>
      </c>
      <c r="F121" t="s">
        <v>185</v>
      </c>
      <c r="G121" t="s">
        <v>186</v>
      </c>
      <c r="H121">
        <v>1</v>
      </c>
      <c r="I121">
        <v>400</v>
      </c>
      <c r="J121">
        <v>10</v>
      </c>
      <c r="K121" t="s">
        <v>187</v>
      </c>
      <c r="L121" t="s">
        <v>2320</v>
      </c>
      <c r="M121">
        <v>1.5</v>
      </c>
      <c r="N121">
        <v>0.69140625</v>
      </c>
      <c r="O121">
        <v>0.69140625</v>
      </c>
      <c r="P121" t="s">
        <v>2321</v>
      </c>
      <c r="Q121">
        <v>0</v>
      </c>
      <c r="R121" t="s">
        <v>194</v>
      </c>
      <c r="T121">
        <v>14617.795840000001</v>
      </c>
      <c r="U121">
        <v>14726.34139</v>
      </c>
      <c r="V121">
        <v>20537</v>
      </c>
      <c r="W121">
        <v>6934.065302</v>
      </c>
      <c r="X121">
        <v>0.474357788</v>
      </c>
      <c r="Y121">
        <v>39.500264059999999</v>
      </c>
      <c r="Z121">
        <v>1.4283185E-2</v>
      </c>
      <c r="AA121">
        <v>7.2485705999999997E-2</v>
      </c>
      <c r="AB121">
        <v>2.3983682970000002</v>
      </c>
      <c r="AC121">
        <v>0.416950141</v>
      </c>
      <c r="AD121">
        <v>1.398368297</v>
      </c>
      <c r="AE121" t="s">
        <v>2322</v>
      </c>
      <c r="AF121" t="s">
        <v>2323</v>
      </c>
      <c r="AG121" t="s">
        <v>2324</v>
      </c>
      <c r="AH121" t="s">
        <v>193</v>
      </c>
      <c r="AI121" t="s">
        <v>193</v>
      </c>
      <c r="AJ121" t="s">
        <v>193</v>
      </c>
      <c r="AK121" t="s">
        <v>193</v>
      </c>
      <c r="AL121" t="s">
        <v>193</v>
      </c>
      <c r="AM121" t="s">
        <v>193</v>
      </c>
      <c r="AN121" t="s">
        <v>193</v>
      </c>
      <c r="AO121" t="s">
        <v>193</v>
      </c>
      <c r="AP121" t="s">
        <v>193</v>
      </c>
      <c r="AQ121">
        <v>7.8110480999999995E-2</v>
      </c>
      <c r="AR121" t="s">
        <v>193</v>
      </c>
      <c r="AS121" t="s">
        <v>193</v>
      </c>
      <c r="AT121">
        <v>79.288439409999995</v>
      </c>
      <c r="AU121" t="s">
        <v>193</v>
      </c>
      <c r="AV121" s="2">
        <v>11100000</v>
      </c>
      <c r="AW121">
        <v>53.265959000000002</v>
      </c>
      <c r="AX121">
        <v>4290.0801149999998</v>
      </c>
      <c r="AY121">
        <v>-2.0483379670000001</v>
      </c>
      <c r="AZ121">
        <v>11.48469433</v>
      </c>
      <c r="BA121">
        <v>60</v>
      </c>
      <c r="BB121">
        <v>-703</v>
      </c>
      <c r="BC121">
        <v>-8</v>
      </c>
      <c r="BD121">
        <v>33</v>
      </c>
      <c r="BE121">
        <v>60</v>
      </c>
      <c r="BF121">
        <v>88</v>
      </c>
      <c r="BG121">
        <v>115</v>
      </c>
      <c r="BH121">
        <v>65.498703160000005</v>
      </c>
      <c r="BI121">
        <v>486</v>
      </c>
      <c r="BJ121">
        <v>55</v>
      </c>
      <c r="BK121">
        <v>1189</v>
      </c>
      <c r="BL121">
        <v>42.2943274</v>
      </c>
      <c r="BM121">
        <v>23.669862259999999</v>
      </c>
      <c r="BN121">
        <v>41.759409849999997</v>
      </c>
      <c r="BO121">
        <v>1.2296540680000001</v>
      </c>
      <c r="BP121">
        <v>0.45454545499999999</v>
      </c>
      <c r="BQ121" t="s">
        <v>194</v>
      </c>
      <c r="BR121" s="2">
        <v>146000000</v>
      </c>
      <c r="BS121">
        <v>84.423589739999997</v>
      </c>
      <c r="BT121">
        <v>784.41269680000005</v>
      </c>
      <c r="BU121">
        <v>11059.99365</v>
      </c>
      <c r="BV121">
        <v>0.51556897000000002</v>
      </c>
      <c r="BW121">
        <v>81.26842499</v>
      </c>
      <c r="BX121">
        <v>1.004606506</v>
      </c>
      <c r="BY121">
        <v>64.740715030000004</v>
      </c>
      <c r="BZ121">
        <v>49.780612949999998</v>
      </c>
      <c r="CA121" t="s">
        <v>2325</v>
      </c>
      <c r="CB121" t="s">
        <v>2326</v>
      </c>
      <c r="CC121" t="s">
        <v>2327</v>
      </c>
      <c r="CD121" t="s">
        <v>2328</v>
      </c>
      <c r="CE121" t="s">
        <v>2329</v>
      </c>
      <c r="CF121" t="s">
        <v>2330</v>
      </c>
      <c r="CG121" t="s">
        <v>2331</v>
      </c>
      <c r="CH121">
        <v>105.8745679</v>
      </c>
      <c r="CI121">
        <v>42.939713040000001</v>
      </c>
      <c r="CJ121">
        <v>-2.0454130130000001</v>
      </c>
      <c r="CK121">
        <v>11.443578479999999</v>
      </c>
      <c r="CL121">
        <v>107</v>
      </c>
      <c r="CM121">
        <v>30</v>
      </c>
      <c r="CN121">
        <v>100</v>
      </c>
      <c r="CO121">
        <v>104</v>
      </c>
      <c r="CP121">
        <v>107</v>
      </c>
      <c r="CQ121">
        <v>109</v>
      </c>
      <c r="CR121">
        <v>112</v>
      </c>
      <c r="CS121">
        <v>6.5528400749999998</v>
      </c>
      <c r="CT121">
        <v>149</v>
      </c>
      <c r="CU121">
        <v>106</v>
      </c>
      <c r="CV121">
        <v>5</v>
      </c>
      <c r="CW121">
        <v>119</v>
      </c>
      <c r="CX121">
        <v>4.2283119100000004</v>
      </c>
      <c r="CY121">
        <v>2.4488652800000001</v>
      </c>
      <c r="CZ121">
        <v>4.1808930220000002</v>
      </c>
      <c r="DA121">
        <v>6.1892484999999997E-2</v>
      </c>
      <c r="DB121">
        <v>2.3474177999999998E-2</v>
      </c>
      <c r="DC121">
        <v>1.3342761249999999</v>
      </c>
      <c r="DD121">
        <v>4.4323693439999996</v>
      </c>
      <c r="DE121">
        <v>1058.7456790000001</v>
      </c>
      <c r="DF121">
        <v>6.3663955999999994E-2</v>
      </c>
      <c r="DG121">
        <v>1.7606709999999999E-3</v>
      </c>
      <c r="DH121">
        <v>388</v>
      </c>
      <c r="DI121">
        <v>104</v>
      </c>
      <c r="DJ121">
        <v>-301</v>
      </c>
      <c r="DK121">
        <v>109</v>
      </c>
      <c r="DL121">
        <v>0.51556897000000002</v>
      </c>
      <c r="DM121">
        <v>81.26842499</v>
      </c>
      <c r="DN121">
        <v>1.004606506</v>
      </c>
      <c r="DO121">
        <v>64.740715030000004</v>
      </c>
      <c r="DP121">
        <v>49.780612949999998</v>
      </c>
      <c r="DQ121" t="s">
        <v>2332</v>
      </c>
      <c r="DR121" t="s">
        <v>2333</v>
      </c>
      <c r="DS121" t="s">
        <v>2334</v>
      </c>
      <c r="DT121" t="s">
        <v>2335</v>
      </c>
      <c r="DU121" t="s">
        <v>2329</v>
      </c>
      <c r="DV121" t="s">
        <v>2330</v>
      </c>
      <c r="DW121" t="s">
        <v>2336</v>
      </c>
      <c r="DX121">
        <v>1.5962046000000001E-2</v>
      </c>
      <c r="DY121">
        <v>106.4721459</v>
      </c>
      <c r="DZ121">
        <v>29.866583039999998</v>
      </c>
      <c r="EA121">
        <v>8.2372930669999995</v>
      </c>
      <c r="EB121">
        <v>2.4796722959999999</v>
      </c>
      <c r="EC121">
        <v>3.759220848</v>
      </c>
      <c r="ED121">
        <v>20.591868380000001</v>
      </c>
      <c r="EE121">
        <v>8.2372930669999995</v>
      </c>
      <c r="EF121">
        <v>212.9442919</v>
      </c>
      <c r="EG121">
        <v>81.972456449999996</v>
      </c>
      <c r="EH121">
        <v>8.2032465909999992</v>
      </c>
      <c r="EI121">
        <v>6.3542190000000004E-3</v>
      </c>
      <c r="EJ121">
        <v>34.723609760000002</v>
      </c>
      <c r="EK121">
        <v>3.759220848</v>
      </c>
      <c r="EL121">
        <v>0.36418787499999999</v>
      </c>
      <c r="EM121">
        <v>0.97079434399999998</v>
      </c>
      <c r="EN121">
        <v>0.28039752699999998</v>
      </c>
      <c r="EO121">
        <v>0.99765777200000005</v>
      </c>
      <c r="EP121" s="2">
        <v>1.0100000000000001E-6</v>
      </c>
      <c r="EQ121">
        <v>0.41868794100000001</v>
      </c>
      <c r="ER121">
        <v>11348.82264</v>
      </c>
      <c r="ES121">
        <v>81.972456449999996</v>
      </c>
      <c r="ET121">
        <v>-1197.347143</v>
      </c>
      <c r="EU121">
        <v>89132.155910000001</v>
      </c>
      <c r="EV121">
        <v>0.92896778800000002</v>
      </c>
      <c r="EW121">
        <v>1.351575977</v>
      </c>
      <c r="EX121" s="2">
        <v>9.09E-5</v>
      </c>
      <c r="EY121">
        <v>11229.334199999999</v>
      </c>
      <c r="EZ121" s="2">
        <v>8.4699999999999999E-5</v>
      </c>
      <c r="FA121">
        <v>10414.628570000001</v>
      </c>
      <c r="FB121" s="2">
        <v>1.22E-4</v>
      </c>
      <c r="FC121">
        <v>15261.303330000001</v>
      </c>
      <c r="FD121">
        <v>1136.903478</v>
      </c>
      <c r="FE121">
        <v>15483.22623</v>
      </c>
      <c r="FF121">
        <v>0.90494454700000004</v>
      </c>
      <c r="FG121" s="2">
        <v>4.2999999999999999E-4</v>
      </c>
      <c r="FH121">
        <v>2.8442755E-2</v>
      </c>
      <c r="FI121">
        <v>0.14202617400000001</v>
      </c>
      <c r="FJ121">
        <v>12094.36781</v>
      </c>
      <c r="FK121">
        <v>3.1756579880000002</v>
      </c>
      <c r="FL121">
        <v>0.713452741</v>
      </c>
      <c r="FM121">
        <v>854.00598030000003</v>
      </c>
      <c r="FN121" s="2">
        <v>9.7399999999999996E-5</v>
      </c>
      <c r="FO121">
        <v>10757.098110000001</v>
      </c>
      <c r="FP121" s="2">
        <v>7.1799999999999997E-5</v>
      </c>
      <c r="FQ121">
        <v>7503.7620969999998</v>
      </c>
      <c r="FR121">
        <v>7.5426865999999995E-2</v>
      </c>
      <c r="FS121">
        <v>9676004.8039999995</v>
      </c>
      <c r="FT121">
        <v>215.7939227</v>
      </c>
      <c r="FU121">
        <v>3.4878604000000001E-2</v>
      </c>
      <c r="FV121">
        <v>2913.4021339999999</v>
      </c>
      <c r="FW121">
        <v>0.47089092199999999</v>
      </c>
      <c r="FX121">
        <v>0.30126113799999998</v>
      </c>
      <c r="FY121">
        <v>98.863488149999995</v>
      </c>
      <c r="FZ121">
        <v>842.98770109999998</v>
      </c>
      <c r="GA121">
        <v>6.9123860840000004</v>
      </c>
    </row>
    <row r="122" spans="1:183" x14ac:dyDescent="0.2">
      <c r="A122" t="s">
        <v>2546</v>
      </c>
      <c r="B122" t="s">
        <v>182</v>
      </c>
      <c r="C122" t="s">
        <v>2337</v>
      </c>
      <c r="D122" s="1">
        <v>43805</v>
      </c>
      <c r="E122" t="s">
        <v>457</v>
      </c>
      <c r="F122" t="s">
        <v>185</v>
      </c>
      <c r="G122" t="s">
        <v>186</v>
      </c>
      <c r="H122">
        <v>1</v>
      </c>
      <c r="I122">
        <v>400</v>
      </c>
      <c r="J122">
        <v>10</v>
      </c>
      <c r="K122" t="s">
        <v>187</v>
      </c>
      <c r="L122" t="s">
        <v>2338</v>
      </c>
      <c r="M122">
        <v>2</v>
      </c>
      <c r="N122">
        <v>0.623046875</v>
      </c>
      <c r="O122">
        <v>0.623046875</v>
      </c>
      <c r="P122" t="s">
        <v>2339</v>
      </c>
      <c r="Q122">
        <v>0</v>
      </c>
      <c r="R122" t="s">
        <v>194</v>
      </c>
      <c r="T122">
        <v>3201.0580679575601</v>
      </c>
      <c r="U122">
        <v>3252.23410797119</v>
      </c>
      <c r="V122">
        <v>4189</v>
      </c>
      <c r="W122">
        <v>2213.4213742803099</v>
      </c>
      <c r="X122">
        <v>0.69146554898099399</v>
      </c>
      <c r="Y122">
        <v>32.531388246165697</v>
      </c>
      <c r="Z122">
        <v>1.7342929827602799E-2</v>
      </c>
      <c r="AA122">
        <v>0.106867876498642</v>
      </c>
      <c r="AB122">
        <v>2.10725749262483</v>
      </c>
      <c r="AC122">
        <v>0.47455045408541102</v>
      </c>
      <c r="AD122">
        <v>1.10725749262483</v>
      </c>
      <c r="AE122" t="s">
        <v>2340</v>
      </c>
      <c r="AF122" t="s">
        <v>2341</v>
      </c>
      <c r="AG122" t="s">
        <v>2342</v>
      </c>
      <c r="AH122" t="s">
        <v>193</v>
      </c>
      <c r="AI122" t="s">
        <v>193</v>
      </c>
      <c r="AJ122" t="s">
        <v>193</v>
      </c>
      <c r="AK122" t="s">
        <v>193</v>
      </c>
      <c r="AL122" t="s">
        <v>193</v>
      </c>
      <c r="AM122" t="s">
        <v>193</v>
      </c>
      <c r="AN122" t="s">
        <v>193</v>
      </c>
      <c r="AO122" t="s">
        <v>193</v>
      </c>
      <c r="AP122" t="s">
        <v>193</v>
      </c>
      <c r="AQ122">
        <v>0.31338294144920698</v>
      </c>
      <c r="AR122" t="s">
        <v>193</v>
      </c>
      <c r="AS122" t="s">
        <v>193</v>
      </c>
      <c r="AT122">
        <v>27.586805150105501</v>
      </c>
      <c r="AU122" t="s">
        <v>193</v>
      </c>
      <c r="AV122">
        <v>1328662.2323527399</v>
      </c>
      <c r="AW122">
        <v>48.069706373836098</v>
      </c>
      <c r="AX122">
        <v>4775.12619855307</v>
      </c>
      <c r="AY122">
        <v>-1.3450864991988301</v>
      </c>
      <c r="AZ122">
        <v>3.9678411601238599</v>
      </c>
      <c r="BA122">
        <v>54</v>
      </c>
      <c r="BB122">
        <v>-367</v>
      </c>
      <c r="BC122">
        <v>-25</v>
      </c>
      <c r="BD122">
        <v>12</v>
      </c>
      <c r="BE122">
        <v>54</v>
      </c>
      <c r="BF122">
        <v>96</v>
      </c>
      <c r="BG122">
        <v>126</v>
      </c>
      <c r="BH122">
        <v>69.1022879400752</v>
      </c>
      <c r="BI122">
        <v>192</v>
      </c>
      <c r="BJ122">
        <v>84</v>
      </c>
      <c r="BK122">
        <v>559</v>
      </c>
      <c r="BL122">
        <v>51.611117249928597</v>
      </c>
      <c r="BM122">
        <v>34.585651381543499</v>
      </c>
      <c r="BN122">
        <v>51.400334208641603</v>
      </c>
      <c r="BO122">
        <v>1.4375433750867801</v>
      </c>
      <c r="BP122">
        <v>0.77777777777777701</v>
      </c>
      <c r="BQ122" t="s">
        <v>194</v>
      </c>
      <c r="BR122" s="2">
        <v>29682512</v>
      </c>
      <c r="BS122">
        <v>84.177329901939203</v>
      </c>
      <c r="BT122">
        <v>156.33393862915</v>
      </c>
      <c r="BU122">
        <v>835.37930297851506</v>
      </c>
      <c r="BV122">
        <v>0.50697274780273405</v>
      </c>
      <c r="BW122" t="s">
        <v>194</v>
      </c>
      <c r="BX122">
        <v>1.0519879150390601</v>
      </c>
      <c r="BY122" t="s">
        <v>194</v>
      </c>
      <c r="BZ122" t="s">
        <v>194</v>
      </c>
      <c r="CA122" t="s">
        <v>2343</v>
      </c>
      <c r="CB122" t="s">
        <v>2344</v>
      </c>
      <c r="CC122" t="s">
        <v>2345</v>
      </c>
      <c r="CD122" t="s">
        <v>2346</v>
      </c>
      <c r="CE122" t="s">
        <v>2347</v>
      </c>
      <c r="CF122" t="s">
        <v>2348</v>
      </c>
      <c r="CG122" t="s">
        <v>2349</v>
      </c>
      <c r="CH122">
        <v>105.359751730723</v>
      </c>
      <c r="CI122">
        <v>47.8741594991168</v>
      </c>
      <c r="CJ122">
        <v>-1.34105829120218</v>
      </c>
      <c r="CK122">
        <v>3.9441486598104198</v>
      </c>
      <c r="CL122">
        <v>106</v>
      </c>
      <c r="CM122">
        <v>64</v>
      </c>
      <c r="CN122">
        <v>98</v>
      </c>
      <c r="CO122">
        <v>102</v>
      </c>
      <c r="CP122">
        <v>106</v>
      </c>
      <c r="CQ122">
        <v>110</v>
      </c>
      <c r="CR122">
        <v>113</v>
      </c>
      <c r="CS122">
        <v>6.9191155142197696</v>
      </c>
      <c r="CT122">
        <v>120</v>
      </c>
      <c r="CU122">
        <v>110</v>
      </c>
      <c r="CV122">
        <v>8</v>
      </c>
      <c r="CW122">
        <v>56</v>
      </c>
      <c r="CX122">
        <v>5.1732195878885801</v>
      </c>
      <c r="CY122">
        <v>3.54439161802821</v>
      </c>
      <c r="CZ122">
        <v>5.1382191453807504</v>
      </c>
      <c r="DA122">
        <v>6.56713346468729E-2</v>
      </c>
      <c r="DB122">
        <v>3.7735849056603703E-2</v>
      </c>
      <c r="DC122">
        <v>1.4043260518776901</v>
      </c>
      <c r="DD122">
        <v>4.6650701661147602</v>
      </c>
      <c r="DE122">
        <v>1053.59751730722</v>
      </c>
      <c r="DF122">
        <v>4.7525316820343798E-2</v>
      </c>
      <c r="DG122">
        <v>3.3682733580073401E-3</v>
      </c>
      <c r="DH122">
        <v>55</v>
      </c>
      <c r="DI122">
        <v>100</v>
      </c>
      <c r="DJ122">
        <v>-44.5</v>
      </c>
      <c r="DK122">
        <v>114</v>
      </c>
      <c r="DL122">
        <v>0.50697274780273405</v>
      </c>
      <c r="DM122" t="s">
        <v>194</v>
      </c>
      <c r="DN122">
        <v>1.0519879150390601</v>
      </c>
      <c r="DO122" t="s">
        <v>194</v>
      </c>
      <c r="DP122" t="s">
        <v>194</v>
      </c>
      <c r="DQ122" t="s">
        <v>2350</v>
      </c>
      <c r="DR122" t="s">
        <v>2351</v>
      </c>
      <c r="DS122" t="s">
        <v>2352</v>
      </c>
      <c r="DT122" t="s">
        <v>2353</v>
      </c>
      <c r="DU122" t="s">
        <v>2347</v>
      </c>
      <c r="DV122" t="s">
        <v>2348</v>
      </c>
      <c r="DW122" t="s">
        <v>2354</v>
      </c>
      <c r="DX122">
        <v>1.21954194004731E-2</v>
      </c>
      <c r="DY122">
        <v>106.37631405643999</v>
      </c>
      <c r="DZ122">
        <v>37.730421195156197</v>
      </c>
      <c r="EA122">
        <v>8.5630526311253394</v>
      </c>
      <c r="EB122">
        <v>2.57773569641809</v>
      </c>
      <c r="EC122">
        <v>3.9136808214834602</v>
      </c>
      <c r="ED122">
        <v>24.159943326111001</v>
      </c>
      <c r="EE122">
        <v>8.5630526311253394</v>
      </c>
      <c r="EF122">
        <v>212.75262811287999</v>
      </c>
      <c r="EG122">
        <v>0</v>
      </c>
      <c r="EH122">
        <v>0</v>
      </c>
      <c r="EI122">
        <v>4.3756685309005901E-3</v>
      </c>
      <c r="EJ122">
        <v>39.4768408985584</v>
      </c>
      <c r="EK122">
        <v>3.9136808214834602</v>
      </c>
      <c r="EL122">
        <v>0.38223429714412699</v>
      </c>
      <c r="EM122">
        <v>0.94084061873229197</v>
      </c>
      <c r="EN122">
        <v>0.30636311311021402</v>
      </c>
      <c r="EO122">
        <v>0.98905092235109204</v>
      </c>
      <c r="EP122">
        <v>0</v>
      </c>
      <c r="EQ122">
        <v>0.47685661002339202</v>
      </c>
      <c r="ER122">
        <v>11333.9121929803</v>
      </c>
      <c r="ES122">
        <v>0</v>
      </c>
      <c r="ET122">
        <v>-841.03979516939603</v>
      </c>
      <c r="EU122">
        <v>59863.740983338001</v>
      </c>
      <c r="EV122">
        <v>0.92554794194724699</v>
      </c>
      <c r="EW122">
        <v>1.41828569552925</v>
      </c>
      <c r="EX122" s="2">
        <v>9.1911686401398605E-5</v>
      </c>
      <c r="EY122">
        <v>11108.200957969</v>
      </c>
      <c r="EZ122" s="2">
        <v>8.5395027420391795E-5</v>
      </c>
      <c r="FA122">
        <v>10250.4482113791</v>
      </c>
      <c r="FB122" s="2">
        <v>1.2873174344560199E-4</v>
      </c>
      <c r="FC122">
        <v>15899.600296112099</v>
      </c>
      <c r="FD122">
        <v>175.08760458219899</v>
      </c>
      <c r="FE122">
        <v>3125.0726531115101</v>
      </c>
      <c r="FF122">
        <v>0.89744201847328997</v>
      </c>
      <c r="FG122">
        <v>2.4124745618110499E-3</v>
      </c>
      <c r="FH122">
        <v>9.9196588672557207E-2</v>
      </c>
      <c r="FI122">
        <v>5.6303740477805501E-2</v>
      </c>
      <c r="FJ122">
        <v>3978.3067235342901</v>
      </c>
      <c r="FK122">
        <v>3.8256055727744598</v>
      </c>
      <c r="FL122">
        <v>0.72772327169417705</v>
      </c>
      <c r="FM122">
        <v>101.82066420664199</v>
      </c>
      <c r="FN122" s="2">
        <v>9.8966323710851704E-5</v>
      </c>
      <c r="FO122">
        <v>10461.3099630996</v>
      </c>
      <c r="FP122" s="2">
        <v>7.4656373081453899E-5</v>
      </c>
      <c r="FQ122">
        <v>7373.3470126693401</v>
      </c>
      <c r="FR122">
        <v>9.1434116423315098E-3</v>
      </c>
      <c r="FS122">
        <v>1142637.57638376</v>
      </c>
      <c r="FT122">
        <v>49.640590405904</v>
      </c>
      <c r="FU122">
        <v>3.6635122070777897E-2</v>
      </c>
      <c r="FV122">
        <v>665.22878228782201</v>
      </c>
      <c r="FW122">
        <v>0.49094375076592001</v>
      </c>
      <c r="FX122">
        <v>0.323466221055144</v>
      </c>
      <c r="FY122">
        <v>78.827976743235993</v>
      </c>
      <c r="FZ122">
        <v>92.263212102231705</v>
      </c>
      <c r="GA122">
        <v>6.5366761979872496</v>
      </c>
    </row>
    <row r="123" spans="1:183" x14ac:dyDescent="0.2">
      <c r="A123" t="s">
        <v>2547</v>
      </c>
      <c r="B123" t="s">
        <v>182</v>
      </c>
      <c r="C123" t="s">
        <v>2355</v>
      </c>
      <c r="D123" s="1">
        <v>44515</v>
      </c>
      <c r="E123" t="s">
        <v>2356</v>
      </c>
      <c r="F123" t="s">
        <v>185</v>
      </c>
      <c r="G123" t="s">
        <v>186</v>
      </c>
      <c r="H123">
        <v>1</v>
      </c>
      <c r="I123">
        <v>400</v>
      </c>
      <c r="J123">
        <v>10</v>
      </c>
      <c r="K123" t="s">
        <v>187</v>
      </c>
      <c r="L123" t="s">
        <v>2357</v>
      </c>
      <c r="M123">
        <v>1</v>
      </c>
      <c r="N123">
        <v>0.72261720900000004</v>
      </c>
      <c r="O123">
        <v>0.72261720900000004</v>
      </c>
      <c r="P123" t="s">
        <v>2358</v>
      </c>
      <c r="Q123">
        <v>0</v>
      </c>
      <c r="R123" t="s">
        <v>194</v>
      </c>
      <c r="T123">
        <v>1086.3645779999999</v>
      </c>
      <c r="U123">
        <v>1105.96792</v>
      </c>
      <c r="V123">
        <v>2118</v>
      </c>
      <c r="W123">
        <v>1101.349113</v>
      </c>
      <c r="X123">
        <v>1.0137932839999999</v>
      </c>
      <c r="Y123">
        <v>33.644332239999997</v>
      </c>
      <c r="Z123">
        <v>1.6769230999999999E-2</v>
      </c>
      <c r="AA123">
        <v>9.9914506E-2</v>
      </c>
      <c r="AB123">
        <v>2.1550490080000002</v>
      </c>
      <c r="AC123">
        <v>0.46402657000000003</v>
      </c>
      <c r="AD123">
        <v>1.155049008</v>
      </c>
      <c r="AE123" t="s">
        <v>2359</v>
      </c>
      <c r="AF123" t="s">
        <v>2360</v>
      </c>
      <c r="AG123" t="s">
        <v>2361</v>
      </c>
      <c r="AH123" t="s">
        <v>193</v>
      </c>
      <c r="AI123" t="s">
        <v>193</v>
      </c>
      <c r="AJ123" t="s">
        <v>193</v>
      </c>
      <c r="AK123" t="s">
        <v>193</v>
      </c>
      <c r="AL123" t="s">
        <v>193</v>
      </c>
      <c r="AM123" t="s">
        <v>193</v>
      </c>
      <c r="AN123" t="s">
        <v>193</v>
      </c>
      <c r="AO123" t="s">
        <v>193</v>
      </c>
      <c r="AP123" t="s">
        <v>193</v>
      </c>
      <c r="AQ123">
        <v>9.6359723999999994E-2</v>
      </c>
      <c r="AR123" t="s">
        <v>193</v>
      </c>
      <c r="AS123" t="s">
        <v>193</v>
      </c>
      <c r="AT123">
        <v>35.002099530000002</v>
      </c>
      <c r="AU123" t="s">
        <v>193</v>
      </c>
      <c r="AV123">
        <v>969920.45160000003</v>
      </c>
      <c r="AW123">
        <v>-8.1869688390000004</v>
      </c>
      <c r="AX123">
        <v>25541.91877</v>
      </c>
      <c r="AY123">
        <v>-2.2754292440000001</v>
      </c>
      <c r="AZ123">
        <v>5.5585565570000002</v>
      </c>
      <c r="BA123">
        <v>59</v>
      </c>
      <c r="BB123">
        <v>-901</v>
      </c>
      <c r="BC123">
        <v>-222</v>
      </c>
      <c r="BD123">
        <v>-36</v>
      </c>
      <c r="BE123">
        <v>59</v>
      </c>
      <c r="BF123">
        <v>82</v>
      </c>
      <c r="BG123">
        <v>102</v>
      </c>
      <c r="BH123">
        <v>159.81839310000001</v>
      </c>
      <c r="BI123">
        <v>290</v>
      </c>
      <c r="BJ123">
        <v>118</v>
      </c>
      <c r="BK123">
        <v>1191</v>
      </c>
      <c r="BL123">
        <v>112.2219824</v>
      </c>
      <c r="BM123">
        <v>59.645906660000001</v>
      </c>
      <c r="BN123">
        <v>94.818696880000005</v>
      </c>
      <c r="BO123">
        <v>-19.521070160000001</v>
      </c>
      <c r="BP123">
        <v>2.565217391</v>
      </c>
      <c r="BQ123" t="s">
        <v>194</v>
      </c>
      <c r="BR123" s="2">
        <v>54200000</v>
      </c>
      <c r="BS123">
        <v>160.02795140000001</v>
      </c>
      <c r="BT123">
        <v>-9.0545248980000004</v>
      </c>
      <c r="BU123">
        <v>310.69448180000001</v>
      </c>
      <c r="BV123">
        <v>0.52269775399999996</v>
      </c>
      <c r="BW123" t="s">
        <v>194</v>
      </c>
      <c r="BX123">
        <v>1.00101062</v>
      </c>
      <c r="BY123" t="s">
        <v>194</v>
      </c>
      <c r="BZ123">
        <v>-32.863014219999997</v>
      </c>
      <c r="CA123" t="s">
        <v>2362</v>
      </c>
      <c r="CB123" t="s">
        <v>2363</v>
      </c>
      <c r="CC123" t="s">
        <v>2364</v>
      </c>
      <c r="CD123" t="s">
        <v>2365</v>
      </c>
      <c r="CE123" t="s">
        <v>2366</v>
      </c>
      <c r="CF123" t="s">
        <v>2367</v>
      </c>
      <c r="CG123" t="s">
        <v>2368</v>
      </c>
      <c r="CH123">
        <v>99.726628899999994</v>
      </c>
      <c r="CI123">
        <v>255.5451927</v>
      </c>
      <c r="CJ123">
        <v>-2.2752265719999998</v>
      </c>
      <c r="CK123">
        <v>5.5610755660000004</v>
      </c>
      <c r="CL123">
        <v>106</v>
      </c>
      <c r="CM123">
        <v>10</v>
      </c>
      <c r="CN123">
        <v>78</v>
      </c>
      <c r="CO123">
        <v>97</v>
      </c>
      <c r="CP123">
        <v>106</v>
      </c>
      <c r="CQ123">
        <v>109</v>
      </c>
      <c r="CR123">
        <v>111</v>
      </c>
      <c r="CS123">
        <v>15.985780950000001</v>
      </c>
      <c r="CT123">
        <v>130</v>
      </c>
      <c r="CU123">
        <v>108</v>
      </c>
      <c r="CV123">
        <v>12</v>
      </c>
      <c r="CW123">
        <v>120</v>
      </c>
      <c r="CX123">
        <v>11.21715794</v>
      </c>
      <c r="CY123">
        <v>6.0027137789999996</v>
      </c>
      <c r="CZ123">
        <v>9.4915014160000002</v>
      </c>
      <c r="DA123">
        <v>0.16029601299999999</v>
      </c>
      <c r="DB123">
        <v>5.8252427000000002E-2</v>
      </c>
      <c r="DC123">
        <v>1.5241419199999999</v>
      </c>
      <c r="DD123">
        <v>5.0630898650000002</v>
      </c>
      <c r="DE123">
        <v>997.26628900000003</v>
      </c>
      <c r="DF123">
        <v>5.2540346000000002E-2</v>
      </c>
      <c r="DG123">
        <v>4.9806210000000002E-3</v>
      </c>
      <c r="DH123">
        <v>64</v>
      </c>
      <c r="DI123">
        <v>106</v>
      </c>
      <c r="DJ123">
        <v>-54.5</v>
      </c>
      <c r="DK123">
        <v>109</v>
      </c>
      <c r="DL123">
        <v>0.52269775399999996</v>
      </c>
      <c r="DM123" t="s">
        <v>194</v>
      </c>
      <c r="DN123">
        <v>1.00101062</v>
      </c>
      <c r="DO123" t="s">
        <v>194</v>
      </c>
      <c r="DP123">
        <v>-32.863014219999997</v>
      </c>
      <c r="DQ123" t="s">
        <v>2369</v>
      </c>
      <c r="DR123" t="s">
        <v>2370</v>
      </c>
      <c r="DS123" t="s">
        <v>2371</v>
      </c>
      <c r="DT123" t="s">
        <v>2372</v>
      </c>
      <c r="DU123" t="s">
        <v>2366</v>
      </c>
      <c r="DV123" t="s">
        <v>2367</v>
      </c>
      <c r="DW123" t="s">
        <v>2373</v>
      </c>
      <c r="DX123">
        <v>2.9350105000000001E-2</v>
      </c>
      <c r="DY123">
        <v>103.0705301</v>
      </c>
      <c r="DZ123">
        <v>151.73347010000001</v>
      </c>
      <c r="EA123">
        <v>8.8314549089999996</v>
      </c>
      <c r="EB123">
        <v>2.6585328330000002</v>
      </c>
      <c r="EC123">
        <v>7.6092642509999999</v>
      </c>
      <c r="ED123">
        <v>126.1090806</v>
      </c>
      <c r="EE123">
        <v>8.8314549089999996</v>
      </c>
      <c r="EF123">
        <v>206.1410602</v>
      </c>
      <c r="EG123">
        <v>422.74738059999999</v>
      </c>
      <c r="EH123">
        <v>8.8299284880000002</v>
      </c>
      <c r="EI123">
        <v>7.7017850000000001E-3</v>
      </c>
      <c r="EJ123">
        <v>184.00998300000001</v>
      </c>
      <c r="EK123">
        <v>7.6092642509999999</v>
      </c>
      <c r="EL123">
        <v>0.34371805700000002</v>
      </c>
      <c r="EM123">
        <v>0.94683753900000001</v>
      </c>
      <c r="EN123">
        <v>0.27872383899999997</v>
      </c>
      <c r="EO123">
        <v>0.98868266199999999</v>
      </c>
      <c r="EP123" s="2">
        <v>6.3399999999999996E-5</v>
      </c>
      <c r="EQ123">
        <v>0.39364076100000001</v>
      </c>
      <c r="ER123">
        <v>10683.262650000001</v>
      </c>
      <c r="ES123">
        <v>422.74738059999999</v>
      </c>
      <c r="ET123">
        <v>-23478.447390000001</v>
      </c>
      <c r="EU123">
        <v>2232541.247</v>
      </c>
      <c r="EV123">
        <v>0.932823709</v>
      </c>
      <c r="EW123">
        <v>1.3582910530000001</v>
      </c>
      <c r="EX123" s="2">
        <v>1.3300000000000001E-4</v>
      </c>
      <c r="EY123">
        <v>10052.17452</v>
      </c>
      <c r="EZ123" s="2">
        <v>1.2799999999999999E-4</v>
      </c>
      <c r="FA123">
        <v>9272.0356030000003</v>
      </c>
      <c r="FB123" s="2">
        <v>1.64E-4</v>
      </c>
      <c r="FC123">
        <v>14219.39918</v>
      </c>
      <c r="FD123">
        <v>89.646049050000002</v>
      </c>
      <c r="FE123">
        <v>1613.825495</v>
      </c>
      <c r="FF123">
        <v>0.90597079999999997</v>
      </c>
      <c r="FG123">
        <v>2.6966500000000001E-3</v>
      </c>
      <c r="FH123">
        <v>0.36826513799999999</v>
      </c>
      <c r="FI123">
        <v>2.5107879E-2</v>
      </c>
      <c r="FJ123">
        <v>28341.1551</v>
      </c>
      <c r="FK123">
        <v>26.52076001</v>
      </c>
      <c r="FL123">
        <v>0.84725928500000003</v>
      </c>
      <c r="FM123">
        <v>97.286147619999994</v>
      </c>
      <c r="FN123" s="2">
        <v>1.76E-4</v>
      </c>
      <c r="FO123">
        <v>8675.2618810000004</v>
      </c>
      <c r="FP123" s="2">
        <v>1.6000000000000001E-4</v>
      </c>
      <c r="FQ123">
        <v>7035.0676700000004</v>
      </c>
      <c r="FR123">
        <v>8.4563980000000004E-3</v>
      </c>
      <c r="FS123">
        <v>1129506.223</v>
      </c>
      <c r="FT123">
        <v>21.450960569999999</v>
      </c>
      <c r="FU123">
        <v>2.1689546000000001E-2</v>
      </c>
      <c r="FV123">
        <v>670.9211325</v>
      </c>
      <c r="FW123">
        <v>0.67838334899999997</v>
      </c>
      <c r="FX123">
        <v>0.46694995299999997</v>
      </c>
      <c r="FY123">
        <v>374.19108879999999</v>
      </c>
      <c r="FZ123">
        <v>92.699880690000001</v>
      </c>
      <c r="GA123">
        <v>6.6955329580000003</v>
      </c>
    </row>
    <row r="124" spans="1:183" x14ac:dyDescent="0.2">
      <c r="A124" t="s">
        <v>2548</v>
      </c>
      <c r="B124" t="s">
        <v>182</v>
      </c>
      <c r="C124" t="s">
        <v>2374</v>
      </c>
      <c r="D124" s="1">
        <v>43420</v>
      </c>
      <c r="E124" t="s">
        <v>2096</v>
      </c>
      <c r="F124" t="s">
        <v>185</v>
      </c>
      <c r="G124" t="s">
        <v>186</v>
      </c>
      <c r="H124">
        <v>1</v>
      </c>
      <c r="I124">
        <v>400</v>
      </c>
      <c r="J124">
        <v>10</v>
      </c>
      <c r="K124" t="s">
        <v>187</v>
      </c>
      <c r="L124" t="s">
        <v>2375</v>
      </c>
      <c r="M124">
        <v>2</v>
      </c>
      <c r="N124">
        <v>0.68359375</v>
      </c>
      <c r="O124">
        <v>0.68359375</v>
      </c>
      <c r="P124" t="s">
        <v>2376</v>
      </c>
      <c r="Q124">
        <v>0</v>
      </c>
      <c r="R124" t="s">
        <v>194</v>
      </c>
      <c r="T124">
        <v>67892.831166585194</v>
      </c>
      <c r="U124">
        <v>68065.1092529296</v>
      </c>
      <c r="V124">
        <v>72828</v>
      </c>
      <c r="W124">
        <v>15281.5062104014</v>
      </c>
      <c r="X124">
        <v>0.225082765703288</v>
      </c>
      <c r="Y124">
        <v>27.8243689893647</v>
      </c>
      <c r="Z124">
        <v>2.0276815038048301E-2</v>
      </c>
      <c r="AA124">
        <v>0.14608368831722901</v>
      </c>
      <c r="AB124">
        <v>1.8987425879645701</v>
      </c>
      <c r="AC124">
        <v>0.52666433372202603</v>
      </c>
      <c r="AD124">
        <v>0.89874258796457696</v>
      </c>
      <c r="AE124" t="s">
        <v>2377</v>
      </c>
      <c r="AF124" t="s">
        <v>2378</v>
      </c>
      <c r="AG124" t="s">
        <v>2379</v>
      </c>
      <c r="AH124" t="s">
        <v>193</v>
      </c>
      <c r="AI124" t="s">
        <v>193</v>
      </c>
      <c r="AJ124" t="s">
        <v>193</v>
      </c>
      <c r="AK124" t="s">
        <v>193</v>
      </c>
      <c r="AL124" t="s">
        <v>193</v>
      </c>
      <c r="AM124" t="s">
        <v>193</v>
      </c>
      <c r="AN124" t="s">
        <v>193</v>
      </c>
      <c r="AO124" t="s">
        <v>193</v>
      </c>
      <c r="AP124" t="s">
        <v>193</v>
      </c>
      <c r="AQ124">
        <v>3.3524629720102998E-2</v>
      </c>
      <c r="AR124" t="s">
        <v>193</v>
      </c>
      <c r="AS124" t="s">
        <v>193</v>
      </c>
      <c r="AT124">
        <v>93.125091143057801</v>
      </c>
      <c r="AU124" t="s">
        <v>193</v>
      </c>
      <c r="AV124" s="2">
        <v>55082465.0278382</v>
      </c>
      <c r="AW124">
        <v>36.314892623716197</v>
      </c>
      <c r="AX124">
        <v>1350.59070093177</v>
      </c>
      <c r="AY124">
        <v>-3.5318672158300899</v>
      </c>
      <c r="AZ124">
        <v>35.285470067587902</v>
      </c>
      <c r="BA124">
        <v>39</v>
      </c>
      <c r="BB124">
        <v>-775</v>
      </c>
      <c r="BC124">
        <v>7</v>
      </c>
      <c r="BD124">
        <v>24</v>
      </c>
      <c r="BE124">
        <v>39</v>
      </c>
      <c r="BF124">
        <v>53</v>
      </c>
      <c r="BG124">
        <v>68</v>
      </c>
      <c r="BH124">
        <v>36.750383684143699</v>
      </c>
      <c r="BI124">
        <v>334</v>
      </c>
      <c r="BJ124">
        <v>29</v>
      </c>
      <c r="BK124">
        <v>1109</v>
      </c>
      <c r="BL124">
        <v>21.986162131133401</v>
      </c>
      <c r="BM124">
        <v>12.300853891364399</v>
      </c>
      <c r="BN124">
        <v>21.8348025484703</v>
      </c>
      <c r="BO124">
        <v>1.01199207897817</v>
      </c>
      <c r="BP124">
        <v>0.37662337662337603</v>
      </c>
      <c r="BQ124" t="s">
        <v>194</v>
      </c>
      <c r="BR124" s="2">
        <v>194404305</v>
      </c>
      <c r="BS124">
        <v>51.665870042067603</v>
      </c>
      <c r="BT124">
        <v>2471.7771339416499</v>
      </c>
      <c r="BU124">
        <v>24363.485972086499</v>
      </c>
      <c r="BV124">
        <v>0.51309582519531205</v>
      </c>
      <c r="BW124">
        <v>81.331512451171804</v>
      </c>
      <c r="BX124">
        <v>1.03460314941406</v>
      </c>
      <c r="BY124">
        <v>62.662151336669901</v>
      </c>
      <c r="BZ124">
        <v>24.6875915527343</v>
      </c>
      <c r="CA124" t="s">
        <v>2380</v>
      </c>
      <c r="CB124" t="s">
        <v>2381</v>
      </c>
      <c r="CC124" t="s">
        <v>2382</v>
      </c>
      <c r="CD124" t="s">
        <v>2383</v>
      </c>
      <c r="CE124" t="s">
        <v>2384</v>
      </c>
      <c r="CF124" t="s">
        <v>2385</v>
      </c>
      <c r="CG124" t="s">
        <v>2386</v>
      </c>
      <c r="CH124">
        <v>104.180507497116</v>
      </c>
      <c r="CI124">
        <v>13.5953074153197</v>
      </c>
      <c r="CJ124">
        <v>-3.4985586065958598</v>
      </c>
      <c r="CK124">
        <v>34.841416084917803</v>
      </c>
      <c r="CL124">
        <v>104</v>
      </c>
      <c r="CM124">
        <v>23</v>
      </c>
      <c r="CN124">
        <v>101</v>
      </c>
      <c r="CO124">
        <v>103</v>
      </c>
      <c r="CP124">
        <v>104</v>
      </c>
      <c r="CQ124">
        <v>106</v>
      </c>
      <c r="CR124">
        <v>107</v>
      </c>
      <c r="CS124">
        <v>3.68718150018679</v>
      </c>
      <c r="CT124">
        <v>134</v>
      </c>
      <c r="CU124">
        <v>105</v>
      </c>
      <c r="CV124">
        <v>3</v>
      </c>
      <c r="CW124">
        <v>111</v>
      </c>
      <c r="CX124">
        <v>2.21159407743917</v>
      </c>
      <c r="CY124">
        <v>1.3363746777850001</v>
      </c>
      <c r="CZ124">
        <v>2.2087933212500599</v>
      </c>
      <c r="DA124">
        <v>3.5392239765090698E-2</v>
      </c>
      <c r="DB124">
        <v>1.43540669856459E-2</v>
      </c>
      <c r="DC124">
        <v>1.0572884536142799</v>
      </c>
      <c r="DD124">
        <v>3.5122362184612999</v>
      </c>
      <c r="DE124">
        <v>1041.8050749711499</v>
      </c>
      <c r="DF124">
        <v>0.12131136161334399</v>
      </c>
      <c r="DG124">
        <v>1.2906293790916699E-3</v>
      </c>
      <c r="DH124">
        <v>3865</v>
      </c>
      <c r="DI124">
        <v>103</v>
      </c>
      <c r="DJ124">
        <v>-3804.5</v>
      </c>
      <c r="DK124">
        <v>106</v>
      </c>
      <c r="DL124">
        <v>0.51309582519531205</v>
      </c>
      <c r="DM124">
        <v>81.331512451171804</v>
      </c>
      <c r="DN124">
        <v>1.03460314941406</v>
      </c>
      <c r="DO124">
        <v>62.662151336669901</v>
      </c>
      <c r="DP124">
        <v>24.6875915527343</v>
      </c>
      <c r="DQ124" t="s">
        <v>2387</v>
      </c>
      <c r="DR124" t="s">
        <v>2388</v>
      </c>
      <c r="DS124" t="s">
        <v>2389</v>
      </c>
      <c r="DT124" t="s">
        <v>2390</v>
      </c>
      <c r="DU124" t="s">
        <v>2384</v>
      </c>
      <c r="DV124" t="s">
        <v>2385</v>
      </c>
      <c r="DW124" t="s">
        <v>2391</v>
      </c>
      <c r="DX124">
        <v>4.7215039113187203E-2</v>
      </c>
      <c r="DY124">
        <v>104.40340572053501</v>
      </c>
      <c r="DZ124">
        <v>9.5174254677639691</v>
      </c>
      <c r="EA124">
        <v>6.4803219357559998</v>
      </c>
      <c r="EB124">
        <v>1.9507712842218199</v>
      </c>
      <c r="EC124">
        <v>1.95504995736475</v>
      </c>
      <c r="ED124">
        <v>6.5134926920506704</v>
      </c>
      <c r="EE124">
        <v>6.4803219357560096</v>
      </c>
      <c r="EF124">
        <v>208.80681144107101</v>
      </c>
      <c r="EG124">
        <v>25.8396012530104</v>
      </c>
      <c r="EH124">
        <v>6.4115596663528001</v>
      </c>
      <c r="EI124">
        <v>2.1027137933818201E-2</v>
      </c>
      <c r="EJ124">
        <v>10.335713027842599</v>
      </c>
      <c r="EK124">
        <v>1.95504995736475</v>
      </c>
      <c r="EL124">
        <v>0.489145352943818</v>
      </c>
      <c r="EM124">
        <v>0.98328358925401205</v>
      </c>
      <c r="EN124">
        <v>0.42714089984520598</v>
      </c>
      <c r="EO124">
        <v>0.99919904709557805</v>
      </c>
      <c r="EP124" s="2">
        <v>4.81402290735677E-8</v>
      </c>
      <c r="EQ124">
        <v>0.45701108651439898</v>
      </c>
      <c r="ER124">
        <v>10904.420695000499</v>
      </c>
      <c r="ES124">
        <v>25.8396012530104</v>
      </c>
      <c r="ET124">
        <v>-302.57940248862099</v>
      </c>
      <c r="EU124">
        <v>20596.393725797399</v>
      </c>
      <c r="EV124">
        <v>0.86421790557564504</v>
      </c>
      <c r="EW124">
        <v>1.79574533127862</v>
      </c>
      <c r="EX124" s="2">
        <v>9.2844824162656301E-5</v>
      </c>
      <c r="EY124">
        <v>10851.364634531101</v>
      </c>
      <c r="EZ124" s="2">
        <v>8.0412618835949093E-5</v>
      </c>
      <c r="FA124">
        <v>9366.0521864821203</v>
      </c>
      <c r="FB124" s="2">
        <v>1.6569645918165099E-4</v>
      </c>
      <c r="FC124">
        <v>19555.045029994999</v>
      </c>
      <c r="FD124">
        <v>6756.3707624680601</v>
      </c>
      <c r="FE124">
        <v>42202.142670482703</v>
      </c>
      <c r="FF124">
        <v>0.82001216776303198</v>
      </c>
      <c r="FG124" s="2">
        <v>1.19247788363391E-4</v>
      </c>
      <c r="FH124">
        <v>6.0274654255930097E-3</v>
      </c>
      <c r="FI124">
        <v>0.55507777539155401</v>
      </c>
      <c r="FJ124">
        <v>5593.2417732173299</v>
      </c>
      <c r="FK124">
        <v>1.6512764874305099</v>
      </c>
      <c r="FL124">
        <v>0.66954555687784301</v>
      </c>
      <c r="FM124">
        <v>50611.533708510397</v>
      </c>
      <c r="FN124" s="2">
        <v>9.9864155366121394E-5</v>
      </c>
      <c r="FO124">
        <v>10354.0839554381</v>
      </c>
      <c r="FP124" s="2">
        <v>6.9013797132900403E-5</v>
      </c>
      <c r="FQ124">
        <v>6778.1365899211096</v>
      </c>
      <c r="FR124">
        <v>4.63905735846045</v>
      </c>
      <c r="FS124" s="2">
        <v>552355623.80934799</v>
      </c>
      <c r="FT124">
        <v>437.01263351326497</v>
      </c>
      <c r="FU124">
        <v>5.0190953659499798E-2</v>
      </c>
      <c r="FV124">
        <v>3608.7569771448202</v>
      </c>
      <c r="FW124">
        <v>0.41446617401456598</v>
      </c>
      <c r="FX124">
        <v>0.119555665403416</v>
      </c>
      <c r="FY124">
        <v>63.8491133226415</v>
      </c>
      <c r="FZ124">
        <v>50541.572117361196</v>
      </c>
      <c r="GA124">
        <v>6.73508809255119</v>
      </c>
    </row>
    <row r="125" spans="1:183" x14ac:dyDescent="0.2">
      <c r="A125" t="s">
        <v>2549</v>
      </c>
      <c r="B125" t="s">
        <v>182</v>
      </c>
      <c r="C125" t="s">
        <v>2392</v>
      </c>
      <c r="D125" s="1">
        <v>43969</v>
      </c>
      <c r="E125" t="s">
        <v>2393</v>
      </c>
      <c r="F125" t="s">
        <v>185</v>
      </c>
      <c r="G125" t="s">
        <v>186</v>
      </c>
      <c r="H125">
        <v>1</v>
      </c>
      <c r="I125">
        <v>400</v>
      </c>
      <c r="J125">
        <v>10</v>
      </c>
      <c r="K125" t="s">
        <v>187</v>
      </c>
      <c r="L125" t="s">
        <v>2394</v>
      </c>
      <c r="M125">
        <v>5</v>
      </c>
      <c r="N125">
        <v>0.703125</v>
      </c>
      <c r="O125">
        <v>0.703125</v>
      </c>
      <c r="P125" t="s">
        <v>2395</v>
      </c>
      <c r="Q125">
        <v>0</v>
      </c>
      <c r="R125" t="s">
        <v>194</v>
      </c>
      <c r="T125">
        <v>163754.962921142</v>
      </c>
      <c r="U125">
        <v>164298.88916015599</v>
      </c>
      <c r="V125">
        <v>66466</v>
      </c>
      <c r="W125">
        <v>31049.857641172599</v>
      </c>
      <c r="X125">
        <v>0.189611704508308</v>
      </c>
      <c r="Y125">
        <v>33.411421173567199</v>
      </c>
      <c r="Z125">
        <v>1.6886129465037598E-2</v>
      </c>
      <c r="AA125">
        <v>0.101312370129785</v>
      </c>
      <c r="AB125">
        <v>2.1450915964762398</v>
      </c>
      <c r="AC125">
        <v>0.46618055920908202</v>
      </c>
      <c r="AD125">
        <v>1.14509159647624</v>
      </c>
      <c r="AE125" t="s">
        <v>2396</v>
      </c>
      <c r="AF125" t="s">
        <v>2397</v>
      </c>
      <c r="AG125" t="s">
        <v>2398</v>
      </c>
      <c r="AH125" t="s">
        <v>193</v>
      </c>
      <c r="AI125" t="s">
        <v>193</v>
      </c>
      <c r="AJ125" t="s">
        <v>193</v>
      </c>
      <c r="AK125" t="s">
        <v>193</v>
      </c>
      <c r="AL125" t="s">
        <v>193</v>
      </c>
      <c r="AM125" t="s">
        <v>193</v>
      </c>
      <c r="AN125" t="s">
        <v>193</v>
      </c>
      <c r="AO125" t="s">
        <v>193</v>
      </c>
      <c r="AP125" t="s">
        <v>193</v>
      </c>
      <c r="AQ125">
        <v>0.12874738600456401</v>
      </c>
      <c r="AR125" t="s">
        <v>193</v>
      </c>
      <c r="AS125" t="s">
        <v>193</v>
      </c>
      <c r="AT125">
        <v>122.118996541923</v>
      </c>
      <c r="AU125" t="s">
        <v>193</v>
      </c>
      <c r="AV125" s="2">
        <v>96883029.740129799</v>
      </c>
      <c r="AW125">
        <v>58.634158818042302</v>
      </c>
      <c r="AX125">
        <v>1221.33659624196</v>
      </c>
      <c r="AY125">
        <v>-3.1974638783682998</v>
      </c>
      <c r="AZ125">
        <v>32.142739267569297</v>
      </c>
      <c r="BA125">
        <v>60</v>
      </c>
      <c r="BB125">
        <v>-533</v>
      </c>
      <c r="BC125">
        <v>30</v>
      </c>
      <c r="BD125">
        <v>45</v>
      </c>
      <c r="BE125">
        <v>60</v>
      </c>
      <c r="BF125">
        <v>75</v>
      </c>
      <c r="BG125">
        <v>91</v>
      </c>
      <c r="BH125">
        <v>34.947626475083602</v>
      </c>
      <c r="BI125">
        <v>255</v>
      </c>
      <c r="BJ125">
        <v>30</v>
      </c>
      <c r="BK125">
        <v>788</v>
      </c>
      <c r="BL125">
        <v>21.524397157497098</v>
      </c>
      <c r="BM125">
        <v>12.8226606328206</v>
      </c>
      <c r="BN125">
        <v>21.473836247103701</v>
      </c>
      <c r="BO125">
        <v>0.59602844450340897</v>
      </c>
      <c r="BP125">
        <v>0.25</v>
      </c>
      <c r="BQ125" t="s">
        <v>194</v>
      </c>
      <c r="BR125" s="2">
        <v>309685112</v>
      </c>
      <c r="BS125">
        <v>68.259073950218394</v>
      </c>
      <c r="BT125">
        <v>9633.5271606445294</v>
      </c>
      <c r="BU125">
        <v>78567.626953125</v>
      </c>
      <c r="BV125">
        <v>0.501800537109375</v>
      </c>
      <c r="BW125">
        <v>99.369461059570298</v>
      </c>
      <c r="BX125">
        <v>1.0357360839843699</v>
      </c>
      <c r="BY125">
        <v>91.914077758789006</v>
      </c>
      <c r="BZ125">
        <v>114.264518737792</v>
      </c>
      <c r="CA125" t="s">
        <v>2399</v>
      </c>
      <c r="CB125" t="s">
        <v>2400</v>
      </c>
      <c r="CC125" t="s">
        <v>2401</v>
      </c>
      <c r="CD125" t="s">
        <v>2402</v>
      </c>
      <c r="CE125" t="s">
        <v>2403</v>
      </c>
      <c r="CF125" t="s">
        <v>2404</v>
      </c>
      <c r="CG125" t="s">
        <v>2405</v>
      </c>
      <c r="CH125">
        <v>106.412902837541</v>
      </c>
      <c r="CI125">
        <v>12.297810828491899</v>
      </c>
      <c r="CJ125">
        <v>-3.1770732360814602</v>
      </c>
      <c r="CK125">
        <v>31.861329483604301</v>
      </c>
      <c r="CL125">
        <v>107</v>
      </c>
      <c r="CM125">
        <v>47</v>
      </c>
      <c r="CN125">
        <v>104</v>
      </c>
      <c r="CO125">
        <v>105</v>
      </c>
      <c r="CP125">
        <v>107</v>
      </c>
      <c r="CQ125">
        <v>108</v>
      </c>
      <c r="CR125">
        <v>110</v>
      </c>
      <c r="CS125">
        <v>3.5068234669700602</v>
      </c>
      <c r="CT125">
        <v>126</v>
      </c>
      <c r="CU125">
        <v>107</v>
      </c>
      <c r="CV125">
        <v>3</v>
      </c>
      <c r="CW125">
        <v>79</v>
      </c>
      <c r="CX125">
        <v>2.18111769095482</v>
      </c>
      <c r="CY125">
        <v>1.3902272312046999</v>
      </c>
      <c r="CZ125">
        <v>2.1650768814130501</v>
      </c>
      <c r="DA125">
        <v>3.2954870823548997E-2</v>
      </c>
      <c r="DB125">
        <v>1.4084507042253501E-2</v>
      </c>
      <c r="DC125">
        <v>1.05012434069144</v>
      </c>
      <c r="DD125">
        <v>3.4884375504679701</v>
      </c>
      <c r="DE125">
        <v>1064.1290283754099</v>
      </c>
      <c r="DF125">
        <v>0.118949237366963</v>
      </c>
      <c r="DG125">
        <v>1.33776878897515E-3</v>
      </c>
      <c r="DH125">
        <v>2960.5</v>
      </c>
      <c r="DI125">
        <v>104</v>
      </c>
      <c r="DJ125">
        <v>-3028</v>
      </c>
      <c r="DK125">
        <v>109</v>
      </c>
      <c r="DL125">
        <v>0.501800537109375</v>
      </c>
      <c r="DM125">
        <v>99.369461059570298</v>
      </c>
      <c r="DN125">
        <v>1.0357360839843699</v>
      </c>
      <c r="DO125">
        <v>91.914077758789006</v>
      </c>
      <c r="DP125">
        <v>114.264518737792</v>
      </c>
      <c r="DQ125" t="s">
        <v>2406</v>
      </c>
      <c r="DR125" t="s">
        <v>2407</v>
      </c>
      <c r="DS125" t="s">
        <v>2408</v>
      </c>
      <c r="DT125" t="s">
        <v>2409</v>
      </c>
      <c r="DU125" t="s">
        <v>2403</v>
      </c>
      <c r="DV125" t="s">
        <v>2404</v>
      </c>
      <c r="DW125" t="s">
        <v>2410</v>
      </c>
      <c r="DX125">
        <v>4.4910491257285502E-2</v>
      </c>
      <c r="DY125">
        <v>106.48242116612199</v>
      </c>
      <c r="DZ125">
        <v>8.4961549355804706</v>
      </c>
      <c r="EA125">
        <v>6.4184656094964501</v>
      </c>
      <c r="EB125">
        <v>1.9321506745961201</v>
      </c>
      <c r="EC125">
        <v>1.9113932833749601</v>
      </c>
      <c r="ED125">
        <v>5.8406698472283001</v>
      </c>
      <c r="EE125">
        <v>6.4184656094966099</v>
      </c>
      <c r="EF125">
        <v>212.96484233224399</v>
      </c>
      <c r="EG125">
        <v>1.4566158724601701</v>
      </c>
      <c r="EH125">
        <v>6.80226952476699E-3</v>
      </c>
      <c r="EI125">
        <v>2.02497623845601E-2</v>
      </c>
      <c r="EJ125">
        <v>9.4940941309592599</v>
      </c>
      <c r="EK125">
        <v>1.9113932833749601</v>
      </c>
      <c r="EL125">
        <v>0.49262231939018802</v>
      </c>
      <c r="EM125">
        <v>0.97740974201504904</v>
      </c>
      <c r="EN125">
        <v>0.43132514059196098</v>
      </c>
      <c r="EO125">
        <v>0.99857504814085796</v>
      </c>
      <c r="EP125" s="2">
        <v>6.1235383970191E-9</v>
      </c>
      <c r="EQ125">
        <v>0.441271127766309</v>
      </c>
      <c r="ER125">
        <v>11342.255125269499</v>
      </c>
      <c r="ES125">
        <v>1.4566158724601701</v>
      </c>
      <c r="ET125">
        <v>-224.27326363424501</v>
      </c>
      <c r="EU125">
        <v>14505.993320978399</v>
      </c>
      <c r="EV125">
        <v>0.868938200791877</v>
      </c>
      <c r="EW125">
        <v>1.76621172990612</v>
      </c>
      <c r="EX125" s="2">
        <v>8.8777941131982697E-5</v>
      </c>
      <c r="EY125">
        <v>11331.6412607032</v>
      </c>
      <c r="EZ125" s="2">
        <v>7.7225133422872597E-5</v>
      </c>
      <c r="FA125">
        <v>9842.7416816386394</v>
      </c>
      <c r="FB125" s="2">
        <v>1.56351129159149E-4</v>
      </c>
      <c r="FC125">
        <v>20030.726238967702</v>
      </c>
      <c r="FD125">
        <v>6167.0418803168404</v>
      </c>
      <c r="FE125">
        <v>39378.2387593924</v>
      </c>
      <c r="FF125">
        <v>0.82616213263461402</v>
      </c>
      <c r="FG125" s="2">
        <v>1.2269006249304799E-4</v>
      </c>
      <c r="FH125">
        <v>6.6555343953828196E-3</v>
      </c>
      <c r="FI125">
        <v>0.58400306275495995</v>
      </c>
      <c r="FJ125">
        <v>4569.3597667192898</v>
      </c>
      <c r="FK125">
        <v>1.2105434999920699</v>
      </c>
      <c r="FL125">
        <v>0.69056040857828205</v>
      </c>
      <c r="FM125">
        <v>26172.693672044799</v>
      </c>
      <c r="FN125" s="2">
        <v>9.28398075312029E-5</v>
      </c>
      <c r="FO125">
        <v>11054.853873440799</v>
      </c>
      <c r="FP125" s="2">
        <v>6.5604559921883304E-5</v>
      </c>
      <c r="FQ125">
        <v>7510.8458132491696</v>
      </c>
      <c r="FR125">
        <v>2.3085730941826399</v>
      </c>
      <c r="FS125" s="2">
        <v>296851011.81187701</v>
      </c>
      <c r="FT125">
        <v>434.06968760727699</v>
      </c>
      <c r="FU125">
        <v>4.9670407095466003E-2</v>
      </c>
      <c r="FV125">
        <v>3851.5213411145401</v>
      </c>
      <c r="FW125">
        <v>0.440727925519458</v>
      </c>
      <c r="FX125">
        <v>0.13148075707880699</v>
      </c>
      <c r="FY125">
        <v>57.879295071432303</v>
      </c>
      <c r="FZ125">
        <v>26114.847369090799</v>
      </c>
      <c r="GA125">
        <v>6.5733013393240496</v>
      </c>
    </row>
    <row r="126" spans="1:183" x14ac:dyDescent="0.2">
      <c r="A126" t="s">
        <v>2550</v>
      </c>
      <c r="B126" t="s">
        <v>182</v>
      </c>
      <c r="C126" t="s">
        <v>2411</v>
      </c>
      <c r="D126" s="1">
        <v>43606</v>
      </c>
      <c r="E126" t="s">
        <v>2412</v>
      </c>
      <c r="F126" t="s">
        <v>185</v>
      </c>
      <c r="G126" t="s">
        <v>186</v>
      </c>
      <c r="H126">
        <v>1</v>
      </c>
      <c r="I126">
        <v>400</v>
      </c>
      <c r="J126">
        <v>10</v>
      </c>
      <c r="K126" t="s">
        <v>187</v>
      </c>
      <c r="L126" t="s">
        <v>2413</v>
      </c>
      <c r="M126">
        <v>2</v>
      </c>
      <c r="N126">
        <v>0.783203125</v>
      </c>
      <c r="O126">
        <v>0.783203125</v>
      </c>
      <c r="P126" t="s">
        <v>2414</v>
      </c>
      <c r="Q126">
        <v>0</v>
      </c>
      <c r="R126" t="s">
        <v>194</v>
      </c>
      <c r="T126">
        <v>8504.6854578653893</v>
      </c>
      <c r="U126">
        <v>8536.1736907958893</v>
      </c>
      <c r="V126">
        <v>6958</v>
      </c>
      <c r="W126">
        <v>3205.27249467807</v>
      </c>
      <c r="X126">
        <v>0.37688313231075898</v>
      </c>
      <c r="Y126">
        <v>21.3372860319759</v>
      </c>
      <c r="Z126">
        <v>2.64414875772985E-2</v>
      </c>
      <c r="AA126">
        <v>0.24841282588706601</v>
      </c>
      <c r="AB126">
        <v>1.5907746498472199</v>
      </c>
      <c r="AC126">
        <v>0.62862455099849301</v>
      </c>
      <c r="AD126">
        <v>0.59077464984722705</v>
      </c>
      <c r="AE126" t="s">
        <v>2415</v>
      </c>
      <c r="AF126" t="s">
        <v>2416</v>
      </c>
      <c r="AG126" t="s">
        <v>2417</v>
      </c>
      <c r="AH126" t="s">
        <v>193</v>
      </c>
      <c r="AI126" t="s">
        <v>193</v>
      </c>
      <c r="AJ126" t="s">
        <v>193</v>
      </c>
      <c r="AK126" t="s">
        <v>193</v>
      </c>
      <c r="AL126" t="s">
        <v>193</v>
      </c>
      <c r="AM126" t="s">
        <v>193</v>
      </c>
      <c r="AN126" t="s">
        <v>193</v>
      </c>
      <c r="AO126" t="s">
        <v>193</v>
      </c>
      <c r="AP126" t="s">
        <v>193</v>
      </c>
      <c r="AQ126">
        <v>2.0446928982805499</v>
      </c>
      <c r="AR126" t="s">
        <v>193</v>
      </c>
      <c r="AS126" t="s">
        <v>193</v>
      </c>
      <c r="AT126">
        <v>33.0503771646421</v>
      </c>
      <c r="AU126" t="s">
        <v>193</v>
      </c>
      <c r="AV126">
        <v>351609.70713378099</v>
      </c>
      <c r="AW126">
        <v>41.343058350100499</v>
      </c>
      <c r="AX126">
        <v>4190.6706122043997</v>
      </c>
      <c r="AY126">
        <v>-4.9432916358646901</v>
      </c>
      <c r="AZ126">
        <v>56.197000995850502</v>
      </c>
      <c r="BA126">
        <v>51</v>
      </c>
      <c r="BB126">
        <v>-808</v>
      </c>
      <c r="BC126">
        <v>0</v>
      </c>
      <c r="BD126">
        <v>29</v>
      </c>
      <c r="BE126">
        <v>51</v>
      </c>
      <c r="BF126">
        <v>68</v>
      </c>
      <c r="BG126">
        <v>83</v>
      </c>
      <c r="BH126">
        <v>64.735389179369307</v>
      </c>
      <c r="BI126">
        <v>855</v>
      </c>
      <c r="BJ126">
        <v>39</v>
      </c>
      <c r="BK126">
        <v>1663</v>
      </c>
      <c r="BL126">
        <v>32.055314930688702</v>
      </c>
      <c r="BM126">
        <v>17.001806507144799</v>
      </c>
      <c r="BN126">
        <v>30.801810865191101</v>
      </c>
      <c r="BO126">
        <v>1.5658103624356501</v>
      </c>
      <c r="BP126">
        <v>0.402061855670103</v>
      </c>
      <c r="BQ126" t="s">
        <v>194</v>
      </c>
      <c r="BR126" s="2">
        <v>41051637</v>
      </c>
      <c r="BS126">
        <v>76.810930771239995</v>
      </c>
      <c r="BT126">
        <v>352.91152698516697</v>
      </c>
      <c r="BU126">
        <v>5786.8829116821198</v>
      </c>
      <c r="BV126">
        <v>0.50667428588867103</v>
      </c>
      <c r="BW126">
        <v>62.217918395996001</v>
      </c>
      <c r="BX126">
        <v>1.0440189208984301</v>
      </c>
      <c r="BY126" t="s">
        <v>194</v>
      </c>
      <c r="BZ126" t="s">
        <v>194</v>
      </c>
      <c r="CA126" t="s">
        <v>2418</v>
      </c>
      <c r="CB126" t="s">
        <v>2419</v>
      </c>
      <c r="CC126" t="s">
        <v>2420</v>
      </c>
      <c r="CD126" t="s">
        <v>2421</v>
      </c>
      <c r="CE126" t="s">
        <v>2422</v>
      </c>
      <c r="CF126" t="s">
        <v>2423</v>
      </c>
      <c r="CG126" t="s">
        <v>2424</v>
      </c>
      <c r="CH126">
        <v>104.686835297499</v>
      </c>
      <c r="CI126">
        <v>42.031993980059198</v>
      </c>
      <c r="CJ126">
        <v>-4.9156840923730503</v>
      </c>
      <c r="CK126">
        <v>55.799320058113302</v>
      </c>
      <c r="CL126">
        <v>106</v>
      </c>
      <c r="CM126">
        <v>20</v>
      </c>
      <c r="CN126">
        <v>101</v>
      </c>
      <c r="CO126">
        <v>103</v>
      </c>
      <c r="CP126">
        <v>106</v>
      </c>
      <c r="CQ126">
        <v>107</v>
      </c>
      <c r="CR126">
        <v>109</v>
      </c>
      <c r="CS126">
        <v>6.4832086176567802</v>
      </c>
      <c r="CT126">
        <v>186</v>
      </c>
      <c r="CU126">
        <v>106</v>
      </c>
      <c r="CV126">
        <v>4</v>
      </c>
      <c r="CW126">
        <v>166</v>
      </c>
      <c r="CX126">
        <v>3.2174601008092201</v>
      </c>
      <c r="CY126">
        <v>1.7876783691592599</v>
      </c>
      <c r="CZ126">
        <v>3.08982466225926</v>
      </c>
      <c r="DA126">
        <v>6.1929550160082503E-2</v>
      </c>
      <c r="DB126">
        <v>1.9047619047619001E-2</v>
      </c>
      <c r="DC126">
        <v>1.1521288218547501</v>
      </c>
      <c r="DD126">
        <v>3.8272891022487898</v>
      </c>
      <c r="DE126">
        <v>1046.8683529749401</v>
      </c>
      <c r="DF126">
        <v>9.48135740902111E-2</v>
      </c>
      <c r="DG126">
        <v>3.6914164804849599E-3</v>
      </c>
      <c r="DH126">
        <v>195</v>
      </c>
      <c r="DI126">
        <v>104</v>
      </c>
      <c r="DJ126">
        <v>-273.5</v>
      </c>
      <c r="DK126">
        <v>109</v>
      </c>
      <c r="DL126">
        <v>0.50667428588867103</v>
      </c>
      <c r="DM126">
        <v>62.217918395996001</v>
      </c>
      <c r="DN126">
        <v>1.0440189208984301</v>
      </c>
      <c r="DO126" t="s">
        <v>194</v>
      </c>
      <c r="DP126" t="s">
        <v>194</v>
      </c>
      <c r="DQ126" t="s">
        <v>2425</v>
      </c>
      <c r="DR126" t="s">
        <v>2426</v>
      </c>
      <c r="DS126" t="s">
        <v>2427</v>
      </c>
      <c r="DT126" t="s">
        <v>2428</v>
      </c>
      <c r="DU126" t="s">
        <v>2422</v>
      </c>
      <c r="DV126" t="s">
        <v>2423</v>
      </c>
      <c r="DW126" t="s">
        <v>2429</v>
      </c>
      <c r="DX126">
        <v>3.27480895846003E-2</v>
      </c>
      <c r="DY126">
        <v>105.227821994235</v>
      </c>
      <c r="DZ126">
        <v>23.944712596780999</v>
      </c>
      <c r="EA126">
        <v>7.0106150529359299</v>
      </c>
      <c r="EB126">
        <v>2.11040541898713</v>
      </c>
      <c r="EC126">
        <v>2.5880642005341201</v>
      </c>
      <c r="ED126">
        <v>19.366943921841301</v>
      </c>
      <c r="EE126">
        <v>7.0106150529359299</v>
      </c>
      <c r="EF126">
        <v>210.455643988471</v>
      </c>
      <c r="EG126">
        <v>69.713830159196803</v>
      </c>
      <c r="EH126">
        <v>7.0106150529359299</v>
      </c>
      <c r="EI126">
        <v>1.3803602675608401E-2</v>
      </c>
      <c r="EJ126">
        <v>26.0650202279278</v>
      </c>
      <c r="EK126">
        <v>2.5880642005341201</v>
      </c>
      <c r="EL126">
        <v>0.44759811841165997</v>
      </c>
      <c r="EM126">
        <v>0.98530246115337805</v>
      </c>
      <c r="EN126">
        <v>0.37695582075949702</v>
      </c>
      <c r="EO126">
        <v>0.99910748364547197</v>
      </c>
      <c r="EP126" s="2">
        <v>2.57435683624005E-6</v>
      </c>
      <c r="EQ126">
        <v>0.45572493045016399</v>
      </c>
      <c r="ER126">
        <v>11083.806724133299</v>
      </c>
      <c r="ES126">
        <v>69.713830159196803</v>
      </c>
      <c r="ET126">
        <v>-2917.28651535772</v>
      </c>
      <c r="EU126">
        <v>303751.08789903403</v>
      </c>
      <c r="EV126">
        <v>0.89469143287418695</v>
      </c>
      <c r="EW126">
        <v>1.57189608782796</v>
      </c>
      <c r="EX126" s="2">
        <v>9.5307353273538394E-5</v>
      </c>
      <c r="EY126">
        <v>10965.966966764199</v>
      </c>
      <c r="EZ126" s="2">
        <v>8.5867145708631395E-5</v>
      </c>
      <c r="FA126">
        <v>9785.6070974986997</v>
      </c>
      <c r="FB126" s="2">
        <v>1.4647570128109799E-4</v>
      </c>
      <c r="FC126">
        <v>17383.207721864401</v>
      </c>
      <c r="FD126">
        <v>540.10703744052796</v>
      </c>
      <c r="FE126">
        <v>4590.9028958368799</v>
      </c>
      <c r="FF126">
        <v>0.86078006500541704</v>
      </c>
      <c r="FG126">
        <v>1.24132542109574E-3</v>
      </c>
      <c r="FH126">
        <v>2.0178323327743199E-2</v>
      </c>
      <c r="FI126">
        <v>4.8386084986629101E-2</v>
      </c>
      <c r="FJ126">
        <v>9689.2713756221601</v>
      </c>
      <c r="FK126">
        <v>21.4548787786064</v>
      </c>
      <c r="FL126">
        <v>0.67374942375992297</v>
      </c>
      <c r="FM126">
        <v>2128.1057770545099</v>
      </c>
      <c r="FN126" s="2">
        <v>1.1404681679256001E-4</v>
      </c>
      <c r="FO126">
        <v>10285.0846216436</v>
      </c>
      <c r="FP126" s="2">
        <v>8.2073367372920603E-5</v>
      </c>
      <c r="FQ126">
        <v>6776.3376008169998</v>
      </c>
      <c r="FR126">
        <v>0.188823661471334</v>
      </c>
      <c r="FS126" s="2">
        <v>23998418.419039801</v>
      </c>
      <c r="FT126">
        <v>62.554109031733098</v>
      </c>
      <c r="FU126">
        <v>5.0898380009546801E-2</v>
      </c>
      <c r="FV126">
        <v>515.72416598860798</v>
      </c>
      <c r="FW126">
        <v>0.41962910169943701</v>
      </c>
      <c r="FX126">
        <v>0.176631215866628</v>
      </c>
      <c r="FY126">
        <v>176.901005732763</v>
      </c>
      <c r="FZ126">
        <v>2096.0530427868398</v>
      </c>
      <c r="GA126">
        <v>6.68669248815422</v>
      </c>
    </row>
    <row r="127" spans="1:183" x14ac:dyDescent="0.2">
      <c r="A127" t="s">
        <v>2551</v>
      </c>
      <c r="B127" t="s">
        <v>182</v>
      </c>
      <c r="C127" t="s">
        <v>2430</v>
      </c>
      <c r="D127" s="1">
        <v>44182</v>
      </c>
      <c r="E127" t="s">
        <v>1769</v>
      </c>
      <c r="F127" t="s">
        <v>185</v>
      </c>
      <c r="G127" t="s">
        <v>186</v>
      </c>
      <c r="H127">
        <v>1</v>
      </c>
      <c r="I127">
        <v>400</v>
      </c>
      <c r="J127">
        <v>10</v>
      </c>
      <c r="K127" t="s">
        <v>187</v>
      </c>
      <c r="L127" t="s">
        <v>2431</v>
      </c>
      <c r="M127">
        <v>1.5</v>
      </c>
      <c r="N127">
        <v>0.556640625</v>
      </c>
      <c r="O127">
        <v>0.556640625</v>
      </c>
      <c r="P127" t="s">
        <v>2432</v>
      </c>
      <c r="Q127">
        <v>0</v>
      </c>
      <c r="R127" t="s">
        <v>194</v>
      </c>
      <c r="T127">
        <v>175103.333580493</v>
      </c>
      <c r="U127">
        <v>175207.86881446801</v>
      </c>
      <c r="V127">
        <v>376975</v>
      </c>
      <c r="W127">
        <v>28118.617033641101</v>
      </c>
      <c r="X127">
        <v>0.16058299096124901</v>
      </c>
      <c r="Y127">
        <v>26.927530165928701</v>
      </c>
      <c r="Z127">
        <v>2.0952147488878199E-2</v>
      </c>
      <c r="AA127">
        <v>0.15597655761733201</v>
      </c>
      <c r="AB127">
        <v>1.8577198554901799</v>
      </c>
      <c r="AC127">
        <v>0.53829429504382298</v>
      </c>
      <c r="AD127">
        <v>0.85771985549017904</v>
      </c>
      <c r="AE127" t="s">
        <v>2433</v>
      </c>
      <c r="AF127" t="s">
        <v>2434</v>
      </c>
      <c r="AG127" t="s">
        <v>2435</v>
      </c>
      <c r="AH127" t="s">
        <v>193</v>
      </c>
      <c r="AI127" t="s">
        <v>193</v>
      </c>
      <c r="AJ127" t="s">
        <v>193</v>
      </c>
      <c r="AK127" t="s">
        <v>193</v>
      </c>
      <c r="AL127" t="s">
        <v>193</v>
      </c>
      <c r="AM127" t="s">
        <v>193</v>
      </c>
      <c r="AN127" t="s">
        <v>193</v>
      </c>
      <c r="AO127" t="s">
        <v>193</v>
      </c>
      <c r="AP127" t="s">
        <v>193</v>
      </c>
      <c r="AQ127">
        <v>3.8158553598787802E-2</v>
      </c>
      <c r="AR127" t="s">
        <v>193</v>
      </c>
      <c r="AS127" t="s">
        <v>193</v>
      </c>
      <c r="AT127">
        <v>93.717431324035005</v>
      </c>
      <c r="AU127" t="s">
        <v>193</v>
      </c>
      <c r="AV127" s="2">
        <v>131916288.192789</v>
      </c>
      <c r="AW127">
        <v>28.362517408315899</v>
      </c>
      <c r="AX127">
        <v>1171.7570671025001</v>
      </c>
      <c r="AY127">
        <v>-2.3203837328330801</v>
      </c>
      <c r="AZ127">
        <v>25.726930351948202</v>
      </c>
      <c r="BA127">
        <v>30</v>
      </c>
      <c r="BB127">
        <v>-725</v>
      </c>
      <c r="BC127">
        <v>-7</v>
      </c>
      <c r="BD127">
        <v>12</v>
      </c>
      <c r="BE127">
        <v>30</v>
      </c>
      <c r="BF127">
        <v>48</v>
      </c>
      <c r="BG127">
        <v>65</v>
      </c>
      <c r="BH127">
        <v>34.230937280514297</v>
      </c>
      <c r="BI127">
        <v>505</v>
      </c>
      <c r="BJ127">
        <v>36</v>
      </c>
      <c r="BK127">
        <v>1230</v>
      </c>
      <c r="BL127">
        <v>23.677577943183898</v>
      </c>
      <c r="BM127">
        <v>15.4201733075903</v>
      </c>
      <c r="BN127">
        <v>23.628113270110699</v>
      </c>
      <c r="BO127">
        <v>1.2069075811471399</v>
      </c>
      <c r="BP127">
        <v>0.6</v>
      </c>
      <c r="BQ127" t="s">
        <v>194</v>
      </c>
      <c r="BR127" s="2">
        <v>744974022</v>
      </c>
      <c r="BS127">
        <v>44.454352552248203</v>
      </c>
      <c r="BT127">
        <v>4969.3362293242999</v>
      </c>
      <c r="BU127">
        <v>76101.495409011797</v>
      </c>
      <c r="BV127">
        <v>0.52379937744140603</v>
      </c>
      <c r="BW127">
        <v>53.257549285888601</v>
      </c>
      <c r="BX127">
        <v>1.03226123046875</v>
      </c>
      <c r="BY127">
        <v>49.276622772216797</v>
      </c>
      <c r="BZ127" t="s">
        <v>194</v>
      </c>
      <c r="CA127" t="s">
        <v>2436</v>
      </c>
      <c r="CB127" t="s">
        <v>2437</v>
      </c>
      <c r="CC127" t="s">
        <v>2438</v>
      </c>
      <c r="CD127" t="s">
        <v>2439</v>
      </c>
      <c r="CE127" t="s">
        <v>2440</v>
      </c>
      <c r="CF127" t="s">
        <v>2441</v>
      </c>
      <c r="CG127" t="s">
        <v>2442</v>
      </c>
      <c r="CH127">
        <v>103.38600968233899</v>
      </c>
      <c r="CI127">
        <v>11.801189508759901</v>
      </c>
      <c r="CJ127">
        <v>-2.2958075519960599</v>
      </c>
      <c r="CK127">
        <v>25.378931847083201</v>
      </c>
      <c r="CL127">
        <v>104</v>
      </c>
      <c r="CM127">
        <v>28</v>
      </c>
      <c r="CN127">
        <v>100</v>
      </c>
      <c r="CO127">
        <v>102</v>
      </c>
      <c r="CP127">
        <v>104</v>
      </c>
      <c r="CQ127">
        <v>105</v>
      </c>
      <c r="CR127">
        <v>107</v>
      </c>
      <c r="CS127">
        <v>3.4352859427942701</v>
      </c>
      <c r="CT127">
        <v>151</v>
      </c>
      <c r="CU127">
        <v>104</v>
      </c>
      <c r="CV127">
        <v>3</v>
      </c>
      <c r="CW127">
        <v>123</v>
      </c>
      <c r="CX127">
        <v>2.3904139053828399</v>
      </c>
      <c r="CY127">
        <v>1.65619395634655</v>
      </c>
      <c r="CZ127">
        <v>2.3789720803766801</v>
      </c>
      <c r="DA127">
        <v>3.3227764117692703E-2</v>
      </c>
      <c r="DB127">
        <v>1.4492753623188401E-2</v>
      </c>
      <c r="DC127">
        <v>1.0959516207572499</v>
      </c>
      <c r="DD127">
        <v>3.6406724796308398</v>
      </c>
      <c r="DE127">
        <v>1033.86009682337</v>
      </c>
      <c r="DF127">
        <v>0.101030427860754</v>
      </c>
      <c r="DG127" s="2">
        <v>5.1769005386571604E-4</v>
      </c>
      <c r="DH127">
        <v>12125.5</v>
      </c>
      <c r="DI127">
        <v>101</v>
      </c>
      <c r="DJ127">
        <v>-12158</v>
      </c>
      <c r="DK127">
        <v>106</v>
      </c>
      <c r="DL127">
        <v>0.52379937744140603</v>
      </c>
      <c r="DM127">
        <v>53.257549285888601</v>
      </c>
      <c r="DN127">
        <v>1.03226123046875</v>
      </c>
      <c r="DO127">
        <v>49.276622772216797</v>
      </c>
      <c r="DP127" t="s">
        <v>194</v>
      </c>
      <c r="DQ127" t="s">
        <v>2443</v>
      </c>
      <c r="DR127" t="s">
        <v>2444</v>
      </c>
      <c r="DS127" t="s">
        <v>2445</v>
      </c>
      <c r="DT127" t="s">
        <v>2446</v>
      </c>
      <c r="DU127" t="s">
        <v>2440</v>
      </c>
      <c r="DV127" t="s">
        <v>2441</v>
      </c>
      <c r="DW127" t="s">
        <v>2447</v>
      </c>
      <c r="DX127">
        <v>2.7396320465118602E-2</v>
      </c>
      <c r="DY127">
        <v>103.512572328519</v>
      </c>
      <c r="DZ127">
        <v>10.0676894207697</v>
      </c>
      <c r="EA127">
        <v>6.9729562850834901</v>
      </c>
      <c r="EB127">
        <v>2.09906900026379</v>
      </c>
      <c r="EC127">
        <v>2.3271393832467901</v>
      </c>
      <c r="ED127">
        <v>4.7501967904421702</v>
      </c>
      <c r="EE127">
        <v>6.9729562850836802</v>
      </c>
      <c r="EF127">
        <v>207.02514465703899</v>
      </c>
      <c r="EG127">
        <v>30.090645724934099</v>
      </c>
      <c r="EH127">
        <v>6.9728526331383396</v>
      </c>
      <c r="EI127">
        <v>1.25134670108347E-2</v>
      </c>
      <c r="EJ127">
        <v>10.165774499500399</v>
      </c>
      <c r="EK127">
        <v>2.3271393832467901</v>
      </c>
      <c r="EL127">
        <v>0.429811835892563</v>
      </c>
      <c r="EM127">
        <v>0.98185738538446599</v>
      </c>
      <c r="EN127">
        <v>0.35208572772712299</v>
      </c>
      <c r="EO127">
        <v>0.99934359848575205</v>
      </c>
      <c r="EP127" s="2">
        <v>4.737039158371E-8</v>
      </c>
      <c r="EQ127">
        <v>0.49512871947914699</v>
      </c>
      <c r="ER127">
        <v>10719.837432238</v>
      </c>
      <c r="ES127">
        <v>30.090645724934099</v>
      </c>
      <c r="ET127">
        <v>-306.15476230727</v>
      </c>
      <c r="EU127">
        <v>22395.393276103001</v>
      </c>
      <c r="EV127">
        <v>0.89278984086672097</v>
      </c>
      <c r="EW127">
        <v>1.57170099610373</v>
      </c>
      <c r="EX127" s="2">
        <v>9.4050501138666801E-5</v>
      </c>
      <c r="EY127">
        <v>10692.6896186706</v>
      </c>
      <c r="EZ127" s="2">
        <v>8.4050820080467696E-5</v>
      </c>
      <c r="FA127">
        <v>9540.6045911543206</v>
      </c>
      <c r="FB127" s="2">
        <v>1.4735366991442401E-4</v>
      </c>
      <c r="FC127">
        <v>16837.384430800099</v>
      </c>
      <c r="FD127">
        <v>31585.095169077202</v>
      </c>
      <c r="FE127">
        <v>246371.518857574</v>
      </c>
      <c r="FF127">
        <v>0.85906920985374402</v>
      </c>
      <c r="FG127" s="2">
        <v>2.1486902469211199E-5</v>
      </c>
      <c r="FH127">
        <v>3.7507133057137301E-3</v>
      </c>
      <c r="FI127">
        <v>2.4822969321346098</v>
      </c>
      <c r="FJ127">
        <v>8956.1343992168095</v>
      </c>
      <c r="FK127">
        <v>0.42280018329917202</v>
      </c>
      <c r="FL127">
        <v>0.59731975755848898</v>
      </c>
      <c r="FM127">
        <v>2079.1885189002701</v>
      </c>
      <c r="FN127" s="2">
        <v>9.7758906877434606E-5</v>
      </c>
      <c r="FO127">
        <v>10443.980605397601</v>
      </c>
      <c r="FP127" s="2">
        <v>5.9419642792274603E-5</v>
      </c>
      <c r="FQ127">
        <v>6171.7380394267502</v>
      </c>
      <c r="FR127">
        <v>0.137627333532057</v>
      </c>
      <c r="FS127" s="2">
        <v>29596752.582069401</v>
      </c>
      <c r="FT127">
        <v>2701.7535286817101</v>
      </c>
      <c r="FU127">
        <v>5.68323592982964E-2</v>
      </c>
      <c r="FV127">
        <v>15871.862155283001</v>
      </c>
      <c r="FW127">
        <v>0.33387034130467602</v>
      </c>
      <c r="FX127">
        <v>0.12610650573645399</v>
      </c>
      <c r="FY127">
        <v>42.3921276448309</v>
      </c>
      <c r="FZ127">
        <v>182708.67701801201</v>
      </c>
      <c r="GA127">
        <v>6.8547553355739703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FC83-F8F3-45D9-850B-F4A58EFD10E6}">
  <dimension ref="A1:CK105"/>
  <sheetViews>
    <sheetView tabSelected="1" topLeftCell="AL15" workbookViewId="0">
      <selection activeCell="BK82" sqref="BK82"/>
    </sheetView>
  </sheetViews>
  <sheetFormatPr baseColWidth="10" defaultColWidth="8.83203125" defaultRowHeight="15" x14ac:dyDescent="0.2"/>
  <sheetData>
    <row r="1" spans="1:89" ht="80" x14ac:dyDescent="0.2">
      <c r="A1" t="s">
        <v>2552</v>
      </c>
      <c r="B1" t="s">
        <v>2553</v>
      </c>
      <c r="C1" t="s">
        <v>2554</v>
      </c>
      <c r="D1" t="s">
        <v>2555</v>
      </c>
      <c r="E1" s="4" t="s">
        <v>2556</v>
      </c>
      <c r="F1" s="4" t="s">
        <v>2557</v>
      </c>
      <c r="G1" t="s">
        <v>2558</v>
      </c>
      <c r="H1" t="s">
        <v>2559</v>
      </c>
      <c r="I1" t="s">
        <v>2560</v>
      </c>
      <c r="J1" t="s">
        <v>2561</v>
      </c>
      <c r="K1" t="s">
        <v>2562</v>
      </c>
      <c r="L1" t="s">
        <v>2563</v>
      </c>
      <c r="M1" t="s">
        <v>2563</v>
      </c>
      <c r="N1" t="s">
        <v>2564</v>
      </c>
      <c r="O1" t="s">
        <v>2565</v>
      </c>
      <c r="P1" t="s">
        <v>2566</v>
      </c>
      <c r="Q1" t="s">
        <v>2567</v>
      </c>
      <c r="R1" t="s">
        <v>2568</v>
      </c>
      <c r="S1" t="s">
        <v>2568</v>
      </c>
      <c r="T1" t="s">
        <v>2569</v>
      </c>
      <c r="U1" t="s">
        <v>2570</v>
      </c>
      <c r="V1" t="s">
        <v>2571</v>
      </c>
      <c r="W1" t="s">
        <v>2572</v>
      </c>
      <c r="X1" t="s">
        <v>2573</v>
      </c>
      <c r="Y1" t="s">
        <v>2574</v>
      </c>
      <c r="Z1" t="s">
        <v>2574</v>
      </c>
      <c r="AA1" t="s">
        <v>2575</v>
      </c>
      <c r="AB1" t="s">
        <v>2575</v>
      </c>
      <c r="AC1" t="s">
        <v>2576</v>
      </c>
      <c r="AD1" s="4" t="s">
        <v>2577</v>
      </c>
      <c r="AE1" s="4" t="s">
        <v>2578</v>
      </c>
      <c r="AF1" t="s">
        <v>2579</v>
      </c>
      <c r="AG1" t="s">
        <v>2580</v>
      </c>
      <c r="AH1" t="s">
        <v>2581</v>
      </c>
      <c r="AI1" t="s">
        <v>2582</v>
      </c>
      <c r="AJ1" t="s">
        <v>2583</v>
      </c>
      <c r="AK1" t="s">
        <v>2584</v>
      </c>
      <c r="AL1" t="s">
        <v>2585</v>
      </c>
      <c r="AM1" t="s">
        <v>2586</v>
      </c>
      <c r="AN1" t="s">
        <v>2587</v>
      </c>
      <c r="AO1" t="s">
        <v>2588</v>
      </c>
      <c r="AP1" t="s">
        <v>2589</v>
      </c>
      <c r="AQ1" t="s">
        <v>2590</v>
      </c>
      <c r="AR1" t="s">
        <v>2591</v>
      </c>
      <c r="AS1" t="s">
        <v>2592</v>
      </c>
      <c r="AT1" t="s">
        <v>2593</v>
      </c>
      <c r="AU1" t="s">
        <v>2594</v>
      </c>
      <c r="AV1" t="s">
        <v>2595</v>
      </c>
      <c r="AW1" t="s">
        <v>2596</v>
      </c>
      <c r="AX1" t="s">
        <v>2597</v>
      </c>
      <c r="AY1" t="s">
        <v>2598</v>
      </c>
      <c r="AZ1" t="s">
        <v>2599</v>
      </c>
      <c r="BA1" t="s">
        <v>2600</v>
      </c>
      <c r="BB1" t="s">
        <v>2601</v>
      </c>
      <c r="BC1" t="s">
        <v>2602</v>
      </c>
      <c r="BD1" t="s">
        <v>2603</v>
      </c>
      <c r="BE1" t="s">
        <v>2604</v>
      </c>
      <c r="BF1" t="s">
        <v>2605</v>
      </c>
      <c r="BG1" t="s">
        <v>2605</v>
      </c>
      <c r="BH1" t="s">
        <v>2606</v>
      </c>
      <c r="BI1" t="s">
        <v>2607</v>
      </c>
      <c r="BJ1" t="s">
        <v>2608</v>
      </c>
      <c r="BK1" t="s">
        <v>2609</v>
      </c>
      <c r="BL1" t="s">
        <v>2610</v>
      </c>
      <c r="BM1" t="s">
        <v>2611</v>
      </c>
      <c r="BN1" t="s">
        <v>2612</v>
      </c>
      <c r="BO1" t="s">
        <v>2613</v>
      </c>
      <c r="BP1" t="s">
        <v>2614</v>
      </c>
      <c r="BQ1" t="s">
        <v>2615</v>
      </c>
      <c r="BR1" t="s">
        <v>2616</v>
      </c>
      <c r="BS1" t="s">
        <v>2617</v>
      </c>
      <c r="BT1" t="s">
        <v>2618</v>
      </c>
      <c r="BU1" t="s">
        <v>2618</v>
      </c>
      <c r="BV1" t="s">
        <v>2619</v>
      </c>
      <c r="BW1" t="s">
        <v>2620</v>
      </c>
      <c r="BX1" t="s">
        <v>2621</v>
      </c>
      <c r="BY1" t="s">
        <v>2622</v>
      </c>
      <c r="BZ1" t="s">
        <v>2623</v>
      </c>
      <c r="CA1" t="s">
        <v>2624</v>
      </c>
      <c r="CB1" t="s">
        <v>2625</v>
      </c>
      <c r="CC1" t="s">
        <v>2626</v>
      </c>
      <c r="CD1" t="s">
        <v>2627</v>
      </c>
      <c r="CE1" t="s">
        <v>2628</v>
      </c>
      <c r="CF1" t="s">
        <v>2629</v>
      </c>
      <c r="CG1" t="s">
        <v>2629</v>
      </c>
      <c r="CH1" t="s">
        <v>2630</v>
      </c>
      <c r="CI1" t="s">
        <v>2631</v>
      </c>
      <c r="CJ1" t="s">
        <v>2632</v>
      </c>
      <c r="CK1" t="s">
        <v>2633</v>
      </c>
    </row>
    <row r="2" spans="1:89" x14ac:dyDescent="0.2">
      <c r="A2" t="s">
        <v>2449</v>
      </c>
      <c r="D2" s="1">
        <v>18307</v>
      </c>
      <c r="E2">
        <v>1</v>
      </c>
      <c r="F2">
        <v>1</v>
      </c>
      <c r="G2">
        <f>DATEDIF(D2,J2,"y")</f>
        <v>69</v>
      </c>
      <c r="H2">
        <v>1</v>
      </c>
      <c r="I2">
        <v>30.79</v>
      </c>
      <c r="J2" s="1">
        <v>43783</v>
      </c>
      <c r="K2" s="1">
        <v>44153</v>
      </c>
      <c r="L2">
        <v>364</v>
      </c>
      <c r="M2">
        <v>12.13</v>
      </c>
      <c r="N2" t="s">
        <v>2634</v>
      </c>
      <c r="O2">
        <v>0</v>
      </c>
      <c r="P2">
        <v>2</v>
      </c>
      <c r="Q2">
        <v>0</v>
      </c>
      <c r="R2" t="s">
        <v>2635</v>
      </c>
      <c r="S2">
        <v>1</v>
      </c>
      <c r="T2">
        <v>1</v>
      </c>
      <c r="U2">
        <v>5</v>
      </c>
      <c r="W2">
        <v>56</v>
      </c>
      <c r="X2">
        <v>34</v>
      </c>
      <c r="Y2" s="7">
        <f>W2/X2</f>
        <v>1.6470588235294117</v>
      </c>
      <c r="Z2">
        <v>0</v>
      </c>
      <c r="AA2">
        <v>319</v>
      </c>
      <c r="AB2">
        <v>0</v>
      </c>
      <c r="AC2">
        <v>3</v>
      </c>
      <c r="AD2">
        <v>1</v>
      </c>
      <c r="AE2" t="s">
        <v>2636</v>
      </c>
      <c r="AF2">
        <v>2</v>
      </c>
      <c r="AG2" t="s">
        <v>2637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 t="s">
        <v>2638</v>
      </c>
      <c r="BD2" t="s">
        <v>2639</v>
      </c>
      <c r="BE2" t="s">
        <v>2640</v>
      </c>
      <c r="BF2" t="s">
        <v>2641</v>
      </c>
      <c r="BG2">
        <v>4</v>
      </c>
      <c r="BH2">
        <v>1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2</v>
      </c>
      <c r="BQ2">
        <v>0</v>
      </c>
      <c r="BR2">
        <v>0</v>
      </c>
      <c r="BV2">
        <v>0</v>
      </c>
      <c r="BW2">
        <v>0</v>
      </c>
      <c r="BY2">
        <v>0</v>
      </c>
      <c r="BZ2">
        <v>1</v>
      </c>
      <c r="CA2" s="1">
        <v>44148</v>
      </c>
      <c r="CB2">
        <f t="shared" ref="CB2:CB65" si="0">DATEDIF(J2,CA2,"d")</f>
        <v>365</v>
      </c>
      <c r="CC2">
        <f t="shared" ref="CC2:CC65" si="1">DATEDIF(J2,CA2,"m")</f>
        <v>11</v>
      </c>
      <c r="CD2">
        <v>0</v>
      </c>
      <c r="CE2" s="1">
        <v>45491</v>
      </c>
      <c r="CF2">
        <f t="shared" ref="CF2:CF65" si="2">DATEDIF(J2,CE2,"d")</f>
        <v>1708</v>
      </c>
      <c r="CG2">
        <f t="shared" ref="CG2:CG65" si="3">DATEDIF(J2,CE2,"m")</f>
        <v>56</v>
      </c>
      <c r="CH2" s="1">
        <v>45756</v>
      </c>
      <c r="CI2">
        <f t="shared" ref="CI2:CI65" si="4">DATEDIF(J2,CH2,"d")</f>
        <v>1973</v>
      </c>
      <c r="CJ2">
        <f t="shared" ref="CJ2:CJ65" si="5">DATEDIF(J2,CH2,"m")</f>
        <v>64</v>
      </c>
    </row>
    <row r="3" spans="1:89" x14ac:dyDescent="0.2">
      <c r="A3" t="s">
        <v>2450</v>
      </c>
      <c r="D3" s="1">
        <v>20931</v>
      </c>
      <c r="E3">
        <v>1</v>
      </c>
      <c r="F3">
        <v>1</v>
      </c>
      <c r="G3">
        <f t="shared" ref="G3:G66" si="6">DATEDIF(D3,J3,"y")</f>
        <v>60</v>
      </c>
      <c r="H3">
        <v>1</v>
      </c>
      <c r="I3">
        <v>20.54</v>
      </c>
      <c r="J3" s="1">
        <v>42957</v>
      </c>
      <c r="K3" s="1">
        <v>43944</v>
      </c>
      <c r="L3">
        <v>973</v>
      </c>
      <c r="M3">
        <v>32.43</v>
      </c>
      <c r="N3" t="s">
        <v>2642</v>
      </c>
      <c r="O3">
        <v>1</v>
      </c>
      <c r="P3">
        <v>2</v>
      </c>
      <c r="Q3">
        <v>0</v>
      </c>
      <c r="R3" t="s">
        <v>2635</v>
      </c>
      <c r="S3">
        <v>1</v>
      </c>
      <c r="T3">
        <v>1</v>
      </c>
      <c r="U3">
        <v>1</v>
      </c>
      <c r="V3">
        <v>0</v>
      </c>
      <c r="W3">
        <v>77</v>
      </c>
      <c r="X3">
        <v>18</v>
      </c>
      <c r="Y3" s="7">
        <f t="shared" ref="Y3:Y66" si="7">W3/X3</f>
        <v>4.2777777777777777</v>
      </c>
      <c r="Z3">
        <v>0</v>
      </c>
      <c r="AA3">
        <v>350</v>
      </c>
      <c r="AB3">
        <v>0</v>
      </c>
      <c r="AC3">
        <v>3</v>
      </c>
      <c r="AD3">
        <v>1</v>
      </c>
      <c r="AE3">
        <v>24</v>
      </c>
      <c r="AF3">
        <v>1</v>
      </c>
      <c r="AG3" t="s">
        <v>2643</v>
      </c>
      <c r="AH3">
        <v>1</v>
      </c>
      <c r="AI3">
        <v>0</v>
      </c>
      <c r="AJ3">
        <v>0</v>
      </c>
      <c r="AK3">
        <v>2</v>
      </c>
      <c r="AL3">
        <v>1</v>
      </c>
      <c r="AM3">
        <v>2</v>
      </c>
      <c r="AN3">
        <v>2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2</v>
      </c>
      <c r="AV3">
        <v>2</v>
      </c>
      <c r="AW3">
        <v>2</v>
      </c>
      <c r="AX3">
        <v>2</v>
      </c>
      <c r="AY3">
        <v>0</v>
      </c>
      <c r="AZ3">
        <v>2</v>
      </c>
      <c r="BA3">
        <v>2</v>
      </c>
      <c r="BB3">
        <v>1</v>
      </c>
      <c r="BC3" t="s">
        <v>2644</v>
      </c>
      <c r="BD3" t="s">
        <v>2639</v>
      </c>
      <c r="BE3" t="s">
        <v>2640</v>
      </c>
      <c r="BF3" t="s">
        <v>2641</v>
      </c>
      <c r="BG3">
        <v>4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1</v>
      </c>
      <c r="BO3">
        <v>0</v>
      </c>
      <c r="BP3">
        <v>3</v>
      </c>
      <c r="BQ3">
        <v>0</v>
      </c>
      <c r="BR3">
        <v>0</v>
      </c>
      <c r="BV3">
        <v>0</v>
      </c>
      <c r="BW3">
        <v>0</v>
      </c>
      <c r="BY3">
        <v>0</v>
      </c>
      <c r="BZ3">
        <v>1</v>
      </c>
      <c r="CA3" s="1">
        <v>44025</v>
      </c>
      <c r="CB3">
        <f t="shared" si="0"/>
        <v>1068</v>
      </c>
      <c r="CC3">
        <f t="shared" si="1"/>
        <v>35</v>
      </c>
      <c r="CD3">
        <v>0</v>
      </c>
      <c r="CE3" s="1">
        <v>45673</v>
      </c>
      <c r="CF3">
        <f t="shared" si="2"/>
        <v>2716</v>
      </c>
      <c r="CG3">
        <f t="shared" si="3"/>
        <v>89</v>
      </c>
      <c r="CH3" s="1">
        <v>45673</v>
      </c>
      <c r="CI3">
        <f t="shared" si="4"/>
        <v>2716</v>
      </c>
      <c r="CJ3">
        <f t="shared" si="5"/>
        <v>89</v>
      </c>
    </row>
    <row r="4" spans="1:89" x14ac:dyDescent="0.2">
      <c r="A4" t="s">
        <v>2451</v>
      </c>
      <c r="D4" s="1">
        <v>15371</v>
      </c>
      <c r="E4">
        <v>0</v>
      </c>
      <c r="F4">
        <v>0</v>
      </c>
      <c r="G4">
        <f t="shared" si="6"/>
        <v>75</v>
      </c>
      <c r="H4">
        <v>1</v>
      </c>
      <c r="I4">
        <v>21.12</v>
      </c>
      <c r="J4" s="1">
        <v>43098</v>
      </c>
      <c r="K4" s="1">
        <v>43104</v>
      </c>
      <c r="L4">
        <v>5</v>
      </c>
      <c r="M4">
        <v>0.17</v>
      </c>
      <c r="N4" t="s">
        <v>2645</v>
      </c>
      <c r="O4">
        <v>1</v>
      </c>
      <c r="P4">
        <v>2</v>
      </c>
      <c r="Q4">
        <v>1</v>
      </c>
      <c r="R4" t="s">
        <v>2635</v>
      </c>
      <c r="S4">
        <v>1</v>
      </c>
      <c r="T4">
        <v>1</v>
      </c>
      <c r="U4">
        <v>50</v>
      </c>
      <c r="V4">
        <v>1</v>
      </c>
      <c r="W4">
        <v>75</v>
      </c>
      <c r="X4">
        <v>12</v>
      </c>
      <c r="Y4" s="7">
        <f t="shared" si="7"/>
        <v>6.25</v>
      </c>
      <c r="Z4">
        <v>1</v>
      </c>
      <c r="AA4">
        <v>244</v>
      </c>
      <c r="AB4">
        <v>0</v>
      </c>
      <c r="AC4">
        <v>0</v>
      </c>
      <c r="AD4">
        <v>2</v>
      </c>
      <c r="AE4">
        <v>2.5</v>
      </c>
      <c r="AF4">
        <v>0</v>
      </c>
      <c r="AG4" t="s">
        <v>2646</v>
      </c>
      <c r="AH4">
        <v>0</v>
      </c>
      <c r="AI4">
        <v>0</v>
      </c>
      <c r="AJ4">
        <v>0</v>
      </c>
      <c r="AK4">
        <v>2</v>
      </c>
      <c r="AL4">
        <v>1</v>
      </c>
      <c r="AM4">
        <v>2</v>
      </c>
      <c r="AN4">
        <v>2</v>
      </c>
      <c r="AO4">
        <v>0</v>
      </c>
      <c r="AP4">
        <v>1</v>
      </c>
      <c r="AQ4">
        <v>0</v>
      </c>
      <c r="AR4">
        <v>0</v>
      </c>
      <c r="AS4">
        <v>2</v>
      </c>
      <c r="AT4">
        <v>0</v>
      </c>
      <c r="AU4">
        <v>0</v>
      </c>
      <c r="AV4">
        <v>2</v>
      </c>
      <c r="AW4">
        <v>2</v>
      </c>
      <c r="AX4">
        <v>2</v>
      </c>
      <c r="AY4">
        <v>0</v>
      </c>
      <c r="AZ4">
        <v>2</v>
      </c>
      <c r="BA4">
        <v>0</v>
      </c>
      <c r="BB4">
        <v>1</v>
      </c>
      <c r="BC4" t="s">
        <v>2647</v>
      </c>
      <c r="BD4" t="s">
        <v>2639</v>
      </c>
      <c r="BE4" t="s">
        <v>2640</v>
      </c>
      <c r="BF4" t="s">
        <v>2641</v>
      </c>
      <c r="BG4">
        <v>4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V4">
        <v>0</v>
      </c>
      <c r="BW4">
        <v>0</v>
      </c>
      <c r="BY4">
        <v>0</v>
      </c>
      <c r="BZ4">
        <v>1</v>
      </c>
      <c r="CA4" s="1">
        <v>43104</v>
      </c>
      <c r="CB4">
        <f t="shared" si="0"/>
        <v>6</v>
      </c>
      <c r="CC4">
        <f t="shared" si="1"/>
        <v>0</v>
      </c>
      <c r="CD4">
        <v>1</v>
      </c>
      <c r="CE4" s="1">
        <v>44719</v>
      </c>
      <c r="CF4">
        <f t="shared" si="2"/>
        <v>1621</v>
      </c>
      <c r="CG4">
        <f t="shared" si="3"/>
        <v>53</v>
      </c>
      <c r="CH4" s="1">
        <v>44794</v>
      </c>
      <c r="CI4">
        <f t="shared" si="4"/>
        <v>1696</v>
      </c>
      <c r="CJ4">
        <f t="shared" si="5"/>
        <v>55</v>
      </c>
    </row>
    <row r="5" spans="1:89" x14ac:dyDescent="0.2">
      <c r="A5" t="s">
        <v>2452</v>
      </c>
      <c r="D5" s="1">
        <v>26180</v>
      </c>
      <c r="E5">
        <v>1</v>
      </c>
      <c r="F5">
        <v>1</v>
      </c>
      <c r="G5">
        <f t="shared" si="6"/>
        <v>46</v>
      </c>
      <c r="H5">
        <v>2</v>
      </c>
      <c r="I5">
        <v>23.96</v>
      </c>
      <c r="J5" s="1">
        <v>43235</v>
      </c>
      <c r="K5" s="1">
        <v>43382</v>
      </c>
      <c r="L5">
        <v>144</v>
      </c>
      <c r="M5">
        <v>4.8</v>
      </c>
      <c r="N5" t="s">
        <v>2648</v>
      </c>
      <c r="O5">
        <v>1</v>
      </c>
      <c r="P5">
        <v>1</v>
      </c>
      <c r="Q5">
        <v>2</v>
      </c>
      <c r="R5" t="s">
        <v>2635</v>
      </c>
      <c r="S5">
        <v>1</v>
      </c>
      <c r="T5">
        <v>1</v>
      </c>
      <c r="U5">
        <v>5</v>
      </c>
      <c r="V5">
        <v>0</v>
      </c>
      <c r="W5">
        <v>64</v>
      </c>
      <c r="X5">
        <v>24</v>
      </c>
      <c r="Y5" s="7">
        <f t="shared" si="7"/>
        <v>2.6666666666666665</v>
      </c>
      <c r="Z5">
        <v>0</v>
      </c>
      <c r="AA5">
        <v>220</v>
      </c>
      <c r="AB5">
        <v>0</v>
      </c>
      <c r="AC5">
        <v>3</v>
      </c>
      <c r="AD5">
        <v>2</v>
      </c>
      <c r="AE5" t="s">
        <v>2636</v>
      </c>
      <c r="AF5">
        <v>2</v>
      </c>
      <c r="AG5" t="s">
        <v>2649</v>
      </c>
      <c r="AH5">
        <v>0</v>
      </c>
      <c r="AI5">
        <v>0</v>
      </c>
      <c r="AJ5">
        <v>1</v>
      </c>
      <c r="AK5">
        <v>0</v>
      </c>
      <c r="AL5">
        <v>0</v>
      </c>
      <c r="AM5">
        <v>2</v>
      </c>
      <c r="AN5">
        <v>2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2</v>
      </c>
      <c r="AV5">
        <v>2</v>
      </c>
      <c r="AW5">
        <v>0</v>
      </c>
      <c r="AX5">
        <v>2</v>
      </c>
      <c r="AY5">
        <v>0</v>
      </c>
      <c r="AZ5">
        <v>2</v>
      </c>
      <c r="BA5">
        <v>0</v>
      </c>
      <c r="BB5">
        <v>1</v>
      </c>
      <c r="BC5" t="s">
        <v>2650</v>
      </c>
      <c r="BD5" t="s">
        <v>2639</v>
      </c>
      <c r="BE5" t="s">
        <v>2640</v>
      </c>
      <c r="BF5" t="s">
        <v>2641</v>
      </c>
      <c r="BG5">
        <v>4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0</v>
      </c>
      <c r="BP5">
        <v>2</v>
      </c>
      <c r="BQ5">
        <v>0</v>
      </c>
      <c r="BR5">
        <v>0</v>
      </c>
      <c r="BV5">
        <v>0</v>
      </c>
      <c r="BW5">
        <v>0</v>
      </c>
      <c r="BY5">
        <v>0</v>
      </c>
      <c r="BZ5">
        <v>1</v>
      </c>
      <c r="CA5" s="1">
        <v>43647</v>
      </c>
      <c r="CB5">
        <f t="shared" si="0"/>
        <v>412</v>
      </c>
      <c r="CC5">
        <f t="shared" si="1"/>
        <v>13</v>
      </c>
      <c r="CD5">
        <v>1</v>
      </c>
      <c r="CE5" s="1">
        <v>43704</v>
      </c>
      <c r="CF5">
        <f t="shared" si="2"/>
        <v>469</v>
      </c>
      <c r="CG5">
        <f t="shared" si="3"/>
        <v>15</v>
      </c>
      <c r="CH5" s="1">
        <v>43718</v>
      </c>
      <c r="CI5">
        <f t="shared" si="4"/>
        <v>483</v>
      </c>
      <c r="CJ5">
        <f t="shared" si="5"/>
        <v>15</v>
      </c>
    </row>
    <row r="6" spans="1:89" x14ac:dyDescent="0.2">
      <c r="A6" s="5" t="s">
        <v>2453</v>
      </c>
      <c r="D6" s="1">
        <v>21743</v>
      </c>
      <c r="E6" s="5" t="s">
        <v>2651</v>
      </c>
      <c r="F6" s="5" t="s">
        <v>2651</v>
      </c>
      <c r="G6">
        <f t="shared" si="6"/>
        <v>56</v>
      </c>
      <c r="H6">
        <v>1</v>
      </c>
      <c r="I6">
        <v>15.39</v>
      </c>
      <c r="J6" s="1">
        <v>42208</v>
      </c>
      <c r="K6" s="1">
        <v>42249</v>
      </c>
      <c r="L6">
        <v>39</v>
      </c>
      <c r="M6">
        <v>1.3</v>
      </c>
      <c r="N6" t="s">
        <v>2652</v>
      </c>
      <c r="O6">
        <v>1</v>
      </c>
      <c r="P6">
        <v>3</v>
      </c>
      <c r="Q6">
        <v>1</v>
      </c>
      <c r="R6" t="s">
        <v>2635</v>
      </c>
      <c r="S6">
        <v>1</v>
      </c>
      <c r="T6">
        <v>2</v>
      </c>
      <c r="U6" t="s">
        <v>2636</v>
      </c>
      <c r="W6">
        <v>78</v>
      </c>
      <c r="X6">
        <v>14</v>
      </c>
      <c r="Y6" s="7">
        <f t="shared" si="7"/>
        <v>5.5714285714285712</v>
      </c>
      <c r="Z6">
        <v>1</v>
      </c>
      <c r="AA6">
        <v>279</v>
      </c>
      <c r="AB6">
        <v>0</v>
      </c>
      <c r="AC6">
        <v>3</v>
      </c>
      <c r="AD6">
        <v>2</v>
      </c>
      <c r="AE6" t="s">
        <v>2636</v>
      </c>
      <c r="AF6">
        <v>2</v>
      </c>
      <c r="AG6" t="s">
        <v>2653</v>
      </c>
      <c r="AH6">
        <v>2</v>
      </c>
      <c r="AI6">
        <v>1</v>
      </c>
      <c r="AJ6">
        <v>0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1</v>
      </c>
      <c r="BC6" t="s">
        <v>2647</v>
      </c>
      <c r="BD6" t="s">
        <v>2639</v>
      </c>
      <c r="BE6" t="s">
        <v>2640</v>
      </c>
      <c r="BF6" t="s">
        <v>2641</v>
      </c>
      <c r="BG6">
        <v>4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V6">
        <v>0</v>
      </c>
      <c r="BW6">
        <v>0</v>
      </c>
      <c r="BY6">
        <v>0</v>
      </c>
      <c r="BZ6">
        <v>0</v>
      </c>
      <c r="CA6" s="1">
        <v>42248</v>
      </c>
      <c r="CB6">
        <f t="shared" si="0"/>
        <v>40</v>
      </c>
      <c r="CC6">
        <f t="shared" si="1"/>
        <v>1</v>
      </c>
      <c r="CD6">
        <v>0</v>
      </c>
      <c r="CE6" s="1">
        <v>42249</v>
      </c>
      <c r="CF6">
        <f t="shared" si="2"/>
        <v>41</v>
      </c>
      <c r="CG6">
        <f t="shared" si="3"/>
        <v>1</v>
      </c>
      <c r="CH6" s="1">
        <v>42249</v>
      </c>
      <c r="CI6">
        <f t="shared" si="4"/>
        <v>41</v>
      </c>
      <c r="CJ6">
        <f t="shared" si="5"/>
        <v>1</v>
      </c>
      <c r="CK6" t="s">
        <v>2654</v>
      </c>
    </row>
    <row r="7" spans="1:89" x14ac:dyDescent="0.2">
      <c r="A7" t="s">
        <v>2454</v>
      </c>
      <c r="D7" s="1">
        <v>15133</v>
      </c>
      <c r="E7" s="5" t="s">
        <v>2651</v>
      </c>
      <c r="F7" s="5" t="s">
        <v>2651</v>
      </c>
      <c r="G7">
        <f t="shared" si="6"/>
        <v>76</v>
      </c>
      <c r="H7">
        <v>2</v>
      </c>
      <c r="I7">
        <v>31.31</v>
      </c>
      <c r="J7" s="1">
        <v>43146</v>
      </c>
      <c r="K7" s="1">
        <v>43209</v>
      </c>
      <c r="L7">
        <v>64</v>
      </c>
      <c r="M7">
        <v>2.13</v>
      </c>
      <c r="N7" t="s">
        <v>2655</v>
      </c>
      <c r="O7">
        <v>1</v>
      </c>
      <c r="P7">
        <v>2</v>
      </c>
      <c r="Q7">
        <v>1</v>
      </c>
      <c r="R7" t="s">
        <v>2656</v>
      </c>
      <c r="S7">
        <v>3</v>
      </c>
      <c r="T7">
        <v>0</v>
      </c>
      <c r="U7">
        <v>0</v>
      </c>
      <c r="W7">
        <v>72</v>
      </c>
      <c r="X7">
        <v>12</v>
      </c>
      <c r="Y7" s="7">
        <f t="shared" si="7"/>
        <v>6</v>
      </c>
      <c r="Z7">
        <v>1</v>
      </c>
      <c r="AA7">
        <v>256</v>
      </c>
      <c r="AB7">
        <v>0</v>
      </c>
      <c r="AC7">
        <v>3</v>
      </c>
      <c r="AD7">
        <v>2</v>
      </c>
      <c r="AE7" t="s">
        <v>2636</v>
      </c>
      <c r="AF7">
        <v>2</v>
      </c>
      <c r="AG7" t="s">
        <v>2657</v>
      </c>
      <c r="AH7">
        <v>1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 t="s">
        <v>2647</v>
      </c>
      <c r="BD7" t="s">
        <v>2658</v>
      </c>
      <c r="BE7" t="s">
        <v>2640</v>
      </c>
      <c r="BF7" t="s">
        <v>2641</v>
      </c>
      <c r="BG7">
        <v>4</v>
      </c>
      <c r="BH7">
        <v>0</v>
      </c>
      <c r="BI7">
        <v>1</v>
      </c>
      <c r="BJ7">
        <v>0</v>
      </c>
      <c r="BK7">
        <v>1</v>
      </c>
      <c r="BL7">
        <v>0</v>
      </c>
      <c r="BM7">
        <v>0</v>
      </c>
      <c r="BN7">
        <v>1</v>
      </c>
      <c r="BO7">
        <v>0</v>
      </c>
      <c r="BP7">
        <v>3</v>
      </c>
      <c r="BQ7">
        <v>0</v>
      </c>
      <c r="BR7">
        <v>0</v>
      </c>
      <c r="BV7">
        <v>0</v>
      </c>
      <c r="BW7">
        <v>0</v>
      </c>
      <c r="BY7">
        <v>1</v>
      </c>
      <c r="BZ7">
        <v>0</v>
      </c>
      <c r="CA7" s="1">
        <v>43209</v>
      </c>
      <c r="CB7">
        <f t="shared" si="0"/>
        <v>63</v>
      </c>
      <c r="CC7">
        <f t="shared" si="1"/>
        <v>2</v>
      </c>
      <c r="CD7">
        <v>1</v>
      </c>
      <c r="CE7" s="1">
        <v>43209</v>
      </c>
      <c r="CF7">
        <f t="shared" si="2"/>
        <v>63</v>
      </c>
      <c r="CG7">
        <f t="shared" si="3"/>
        <v>2</v>
      </c>
      <c r="CH7" s="1">
        <v>43213</v>
      </c>
      <c r="CI7">
        <f t="shared" si="4"/>
        <v>67</v>
      </c>
      <c r="CJ7">
        <f t="shared" si="5"/>
        <v>2</v>
      </c>
    </row>
    <row r="8" spans="1:89" x14ac:dyDescent="0.2">
      <c r="A8" t="s">
        <v>2455</v>
      </c>
      <c r="D8" s="1">
        <v>14223</v>
      </c>
      <c r="E8">
        <v>1</v>
      </c>
      <c r="F8">
        <v>1</v>
      </c>
      <c r="G8">
        <f t="shared" si="6"/>
        <v>81</v>
      </c>
      <c r="H8">
        <v>1</v>
      </c>
      <c r="I8">
        <v>16.809999999999999</v>
      </c>
      <c r="J8" s="1">
        <v>43905</v>
      </c>
      <c r="K8" s="1">
        <v>44189</v>
      </c>
      <c r="L8">
        <v>279</v>
      </c>
      <c r="M8">
        <v>9.3000000000000007</v>
      </c>
      <c r="N8" t="s">
        <v>2648</v>
      </c>
      <c r="O8">
        <v>1</v>
      </c>
      <c r="P8">
        <v>1</v>
      </c>
      <c r="Q8">
        <v>0</v>
      </c>
      <c r="R8" t="s">
        <v>2659</v>
      </c>
      <c r="S8">
        <v>1</v>
      </c>
      <c r="T8">
        <v>1</v>
      </c>
      <c r="U8">
        <v>1</v>
      </c>
      <c r="W8">
        <v>73</v>
      </c>
      <c r="X8">
        <v>13</v>
      </c>
      <c r="Y8" s="7">
        <f t="shared" si="7"/>
        <v>5.615384615384615</v>
      </c>
      <c r="Z8">
        <v>1</v>
      </c>
      <c r="AA8">
        <v>158</v>
      </c>
      <c r="AB8">
        <v>0</v>
      </c>
      <c r="AC8">
        <v>3</v>
      </c>
      <c r="AD8">
        <v>0</v>
      </c>
      <c r="AE8" t="s">
        <v>2636</v>
      </c>
      <c r="AF8">
        <v>2</v>
      </c>
      <c r="AG8" t="s">
        <v>2660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F8" t="s">
        <v>2641</v>
      </c>
      <c r="BG8">
        <v>4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  <c r="BN8">
        <v>1</v>
      </c>
      <c r="BO8">
        <v>0</v>
      </c>
      <c r="BP8">
        <v>3</v>
      </c>
      <c r="BQ8">
        <v>0</v>
      </c>
      <c r="BR8">
        <v>0</v>
      </c>
      <c r="BV8">
        <v>0</v>
      </c>
      <c r="BW8">
        <v>0</v>
      </c>
      <c r="BY8">
        <v>0</v>
      </c>
      <c r="BZ8">
        <v>1</v>
      </c>
      <c r="CA8" s="1">
        <v>44167</v>
      </c>
      <c r="CB8">
        <f t="shared" si="0"/>
        <v>262</v>
      </c>
      <c r="CC8">
        <f t="shared" si="1"/>
        <v>8</v>
      </c>
      <c r="CD8">
        <v>1</v>
      </c>
      <c r="CE8" s="1">
        <v>44265</v>
      </c>
      <c r="CF8">
        <f t="shared" si="2"/>
        <v>360</v>
      </c>
      <c r="CG8">
        <f t="shared" si="3"/>
        <v>11</v>
      </c>
      <c r="CH8" s="1">
        <v>44265</v>
      </c>
      <c r="CI8">
        <f t="shared" si="4"/>
        <v>360</v>
      </c>
      <c r="CJ8">
        <f t="shared" si="5"/>
        <v>11</v>
      </c>
    </row>
    <row r="9" spans="1:89" x14ac:dyDescent="0.2">
      <c r="A9" t="s">
        <v>2456</v>
      </c>
      <c r="D9" s="1">
        <v>14314</v>
      </c>
      <c r="E9">
        <v>1</v>
      </c>
      <c r="F9">
        <v>1</v>
      </c>
      <c r="G9">
        <f t="shared" si="6"/>
        <v>80</v>
      </c>
      <c r="H9">
        <v>2</v>
      </c>
      <c r="I9">
        <v>28.1</v>
      </c>
      <c r="J9" s="1">
        <v>43731</v>
      </c>
      <c r="K9" s="1">
        <v>44495</v>
      </c>
      <c r="L9">
        <v>753</v>
      </c>
      <c r="M9">
        <v>25.1</v>
      </c>
      <c r="N9" t="s">
        <v>2648</v>
      </c>
      <c r="O9">
        <v>1</v>
      </c>
      <c r="P9">
        <v>2</v>
      </c>
      <c r="Q9">
        <v>0</v>
      </c>
      <c r="R9" t="s">
        <v>2659</v>
      </c>
      <c r="S9">
        <v>1</v>
      </c>
      <c r="T9">
        <v>0</v>
      </c>
      <c r="U9">
        <v>0</v>
      </c>
      <c r="W9">
        <v>90</v>
      </c>
      <c r="X9">
        <v>3</v>
      </c>
      <c r="Y9" s="7">
        <f t="shared" si="7"/>
        <v>30</v>
      </c>
      <c r="Z9">
        <v>1</v>
      </c>
      <c r="AA9">
        <v>200</v>
      </c>
      <c r="AB9">
        <v>0</v>
      </c>
      <c r="AC9">
        <v>3</v>
      </c>
      <c r="AD9">
        <v>2</v>
      </c>
      <c r="AE9" t="s">
        <v>2636</v>
      </c>
      <c r="AF9">
        <v>2</v>
      </c>
      <c r="AG9" t="s">
        <v>2661</v>
      </c>
      <c r="AH9">
        <v>2</v>
      </c>
      <c r="AI9">
        <v>1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 t="s">
        <v>2647</v>
      </c>
      <c r="BD9" t="s">
        <v>2639</v>
      </c>
      <c r="BE9" t="s">
        <v>2640</v>
      </c>
      <c r="BF9" t="s">
        <v>2641</v>
      </c>
      <c r="BG9">
        <v>4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 s="1">
        <v>44173</v>
      </c>
      <c r="BT9">
        <f>DATEDIF(J9,BS9,"d")</f>
        <v>442</v>
      </c>
      <c r="BU9">
        <f>DATEDIF(J9,BS9,"m")</f>
        <v>14</v>
      </c>
      <c r="BV9">
        <v>1</v>
      </c>
      <c r="BW9">
        <v>0</v>
      </c>
      <c r="BY9">
        <v>0</v>
      </c>
      <c r="BZ9">
        <v>1</v>
      </c>
      <c r="CA9" s="1">
        <v>44363</v>
      </c>
      <c r="CB9">
        <f t="shared" si="0"/>
        <v>632</v>
      </c>
      <c r="CC9">
        <f t="shared" si="1"/>
        <v>20</v>
      </c>
      <c r="CD9">
        <v>1</v>
      </c>
      <c r="CE9" s="1">
        <v>44587</v>
      </c>
      <c r="CF9">
        <f t="shared" si="2"/>
        <v>856</v>
      </c>
      <c r="CG9">
        <f t="shared" si="3"/>
        <v>28</v>
      </c>
      <c r="CH9" s="1">
        <v>44587</v>
      </c>
      <c r="CI9">
        <f t="shared" si="4"/>
        <v>856</v>
      </c>
      <c r="CJ9">
        <f t="shared" si="5"/>
        <v>28</v>
      </c>
    </row>
    <row r="10" spans="1:89" x14ac:dyDescent="0.2">
      <c r="A10" t="s">
        <v>2457</v>
      </c>
      <c r="D10" s="1">
        <v>23554</v>
      </c>
      <c r="E10">
        <v>1</v>
      </c>
      <c r="F10">
        <v>1</v>
      </c>
      <c r="G10">
        <f t="shared" si="6"/>
        <v>52</v>
      </c>
      <c r="H10">
        <v>1</v>
      </c>
      <c r="I10">
        <v>30.85</v>
      </c>
      <c r="J10" s="1">
        <v>42717</v>
      </c>
      <c r="K10" s="1">
        <v>43108</v>
      </c>
      <c r="L10">
        <v>385</v>
      </c>
      <c r="M10">
        <v>12.83</v>
      </c>
      <c r="N10" t="s">
        <v>2648</v>
      </c>
      <c r="O10">
        <v>1</v>
      </c>
      <c r="P10">
        <v>1</v>
      </c>
      <c r="Q10">
        <v>0</v>
      </c>
      <c r="R10" t="s">
        <v>2635</v>
      </c>
      <c r="S10">
        <v>1</v>
      </c>
      <c r="T10">
        <v>1</v>
      </c>
      <c r="U10">
        <v>60</v>
      </c>
      <c r="W10">
        <v>64</v>
      </c>
      <c r="X10">
        <v>21</v>
      </c>
      <c r="Y10" s="7">
        <f t="shared" si="7"/>
        <v>3.0476190476190474</v>
      </c>
      <c r="Z10">
        <v>0</v>
      </c>
      <c r="AA10">
        <v>328</v>
      </c>
      <c r="AB10">
        <v>0</v>
      </c>
      <c r="AC10">
        <v>3</v>
      </c>
      <c r="AD10">
        <v>2</v>
      </c>
      <c r="AE10" t="s">
        <v>2636</v>
      </c>
      <c r="AF10">
        <v>2</v>
      </c>
      <c r="AG10" t="s">
        <v>2662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1</v>
      </c>
      <c r="BF10" t="s">
        <v>2663</v>
      </c>
      <c r="BG10">
        <v>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V10">
        <v>0</v>
      </c>
      <c r="BW10">
        <v>0</v>
      </c>
      <c r="BY10">
        <v>0</v>
      </c>
      <c r="BZ10">
        <v>1</v>
      </c>
      <c r="CA10" s="1">
        <v>43209</v>
      </c>
      <c r="CB10">
        <f t="shared" si="0"/>
        <v>492</v>
      </c>
      <c r="CC10">
        <f t="shared" si="1"/>
        <v>16</v>
      </c>
      <c r="CD10">
        <v>0</v>
      </c>
      <c r="CE10" s="1">
        <v>45751</v>
      </c>
      <c r="CF10">
        <f t="shared" si="2"/>
        <v>3034</v>
      </c>
      <c r="CG10">
        <f t="shared" si="3"/>
        <v>99</v>
      </c>
      <c r="CH10" s="1">
        <v>45751</v>
      </c>
      <c r="CI10">
        <f t="shared" si="4"/>
        <v>3034</v>
      </c>
      <c r="CJ10">
        <f t="shared" si="5"/>
        <v>99</v>
      </c>
    </row>
    <row r="11" spans="1:89" x14ac:dyDescent="0.2">
      <c r="A11" t="s">
        <v>2458</v>
      </c>
      <c r="D11" s="1">
        <v>16525</v>
      </c>
      <c r="E11">
        <v>1</v>
      </c>
      <c r="F11">
        <v>1</v>
      </c>
      <c r="G11">
        <f t="shared" si="6"/>
        <v>73</v>
      </c>
      <c r="H11">
        <v>1</v>
      </c>
      <c r="I11">
        <v>20.61</v>
      </c>
      <c r="J11" s="1">
        <v>43266</v>
      </c>
      <c r="K11" s="1">
        <v>43350</v>
      </c>
      <c r="L11">
        <v>82</v>
      </c>
      <c r="M11">
        <v>2.73</v>
      </c>
      <c r="N11" t="s">
        <v>2648</v>
      </c>
      <c r="O11">
        <v>1</v>
      </c>
      <c r="P11">
        <v>2</v>
      </c>
      <c r="Q11">
        <v>1</v>
      </c>
      <c r="R11" t="s">
        <v>2635</v>
      </c>
      <c r="S11">
        <v>1</v>
      </c>
      <c r="T11">
        <v>1</v>
      </c>
      <c r="U11">
        <v>20</v>
      </c>
      <c r="V11">
        <v>30</v>
      </c>
      <c r="W11">
        <v>74</v>
      </c>
      <c r="X11">
        <v>14</v>
      </c>
      <c r="Y11" s="7">
        <f t="shared" si="7"/>
        <v>5.2857142857142856</v>
      </c>
      <c r="Z11">
        <v>1</v>
      </c>
      <c r="AA11">
        <v>319</v>
      </c>
      <c r="AB11">
        <v>0</v>
      </c>
      <c r="AC11">
        <v>3</v>
      </c>
      <c r="AD11">
        <v>2</v>
      </c>
      <c r="AE11" t="s">
        <v>2636</v>
      </c>
      <c r="AF11">
        <v>2</v>
      </c>
      <c r="AG11" t="s">
        <v>2664</v>
      </c>
      <c r="AH11">
        <v>1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1</v>
      </c>
      <c r="BC11" t="s">
        <v>2647</v>
      </c>
      <c r="BD11" t="s">
        <v>2639</v>
      </c>
      <c r="BE11" t="s">
        <v>2640</v>
      </c>
      <c r="BF11" t="s">
        <v>2641</v>
      </c>
      <c r="BG11">
        <v>4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V11">
        <v>0</v>
      </c>
      <c r="BW11">
        <v>0</v>
      </c>
      <c r="BY11">
        <v>0</v>
      </c>
      <c r="BZ11">
        <v>1</v>
      </c>
      <c r="CA11" s="1">
        <v>44027</v>
      </c>
      <c r="CB11">
        <f t="shared" si="0"/>
        <v>761</v>
      </c>
      <c r="CC11">
        <f t="shared" si="1"/>
        <v>25</v>
      </c>
      <c r="CD11">
        <v>0</v>
      </c>
      <c r="CE11" s="1">
        <v>44865</v>
      </c>
      <c r="CF11">
        <f t="shared" si="2"/>
        <v>1599</v>
      </c>
      <c r="CG11">
        <f t="shared" si="3"/>
        <v>52</v>
      </c>
      <c r="CH11" s="1">
        <v>44865</v>
      </c>
      <c r="CI11">
        <f t="shared" si="4"/>
        <v>1599</v>
      </c>
      <c r="CJ11">
        <f t="shared" si="5"/>
        <v>52</v>
      </c>
    </row>
    <row r="12" spans="1:89" x14ac:dyDescent="0.2">
      <c r="A12" t="s">
        <v>2459</v>
      </c>
      <c r="D12" s="1">
        <v>17534</v>
      </c>
      <c r="E12">
        <v>1</v>
      </c>
      <c r="F12">
        <v>1</v>
      </c>
      <c r="G12">
        <f t="shared" si="6"/>
        <v>71</v>
      </c>
      <c r="H12">
        <v>2</v>
      </c>
      <c r="I12">
        <v>20.190000000000001</v>
      </c>
      <c r="J12" s="1">
        <v>43706</v>
      </c>
      <c r="K12" s="1">
        <v>44000</v>
      </c>
      <c r="L12">
        <v>289</v>
      </c>
      <c r="M12">
        <v>9.6300000000000008</v>
      </c>
      <c r="N12" t="s">
        <v>2648</v>
      </c>
      <c r="O12">
        <v>1</v>
      </c>
      <c r="P12">
        <v>3</v>
      </c>
      <c r="Q12">
        <v>0</v>
      </c>
      <c r="R12" t="s">
        <v>2635</v>
      </c>
      <c r="S12">
        <v>1</v>
      </c>
      <c r="T12">
        <v>0</v>
      </c>
      <c r="U12">
        <v>0</v>
      </c>
      <c r="V12">
        <v>0</v>
      </c>
      <c r="W12">
        <v>66</v>
      </c>
      <c r="X12">
        <v>21</v>
      </c>
      <c r="Y12" s="7">
        <f t="shared" si="7"/>
        <v>3.1428571428571428</v>
      </c>
      <c r="Z12">
        <v>0</v>
      </c>
      <c r="AA12">
        <v>293</v>
      </c>
      <c r="AB12">
        <v>0</v>
      </c>
      <c r="AC12">
        <v>2</v>
      </c>
      <c r="AD12">
        <v>0</v>
      </c>
      <c r="AE12" t="s">
        <v>2636</v>
      </c>
      <c r="AF12">
        <v>2</v>
      </c>
      <c r="AG12" t="s">
        <v>2665</v>
      </c>
      <c r="AH12">
        <v>2</v>
      </c>
      <c r="AI12">
        <v>1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F12" t="s">
        <v>2641</v>
      </c>
      <c r="BG12">
        <v>4</v>
      </c>
      <c r="BH12">
        <v>1</v>
      </c>
      <c r="BI12">
        <v>1</v>
      </c>
      <c r="BJ12">
        <v>0</v>
      </c>
      <c r="BK12">
        <v>1</v>
      </c>
      <c r="BL12">
        <v>1</v>
      </c>
      <c r="BM12">
        <v>0</v>
      </c>
      <c r="BN12">
        <v>1</v>
      </c>
      <c r="BO12">
        <v>0</v>
      </c>
      <c r="BP12">
        <f>SUM(BH12:BO12)</f>
        <v>5</v>
      </c>
      <c r="BQ12">
        <v>0</v>
      </c>
      <c r="BR12">
        <v>0</v>
      </c>
      <c r="BV12">
        <v>0</v>
      </c>
      <c r="BW12">
        <v>0</v>
      </c>
      <c r="BY12">
        <v>0</v>
      </c>
      <c r="BZ12">
        <v>1</v>
      </c>
      <c r="CA12" s="1">
        <v>43997</v>
      </c>
      <c r="CB12">
        <f t="shared" si="0"/>
        <v>291</v>
      </c>
      <c r="CC12">
        <f t="shared" si="1"/>
        <v>9</v>
      </c>
      <c r="CD12">
        <v>1</v>
      </c>
      <c r="CE12" s="1">
        <v>44077</v>
      </c>
      <c r="CF12">
        <f t="shared" si="2"/>
        <v>371</v>
      </c>
      <c r="CG12">
        <f t="shared" si="3"/>
        <v>12</v>
      </c>
      <c r="CH12" s="1">
        <v>44108</v>
      </c>
      <c r="CI12">
        <f t="shared" si="4"/>
        <v>402</v>
      </c>
      <c r="CJ12">
        <f t="shared" si="5"/>
        <v>13</v>
      </c>
    </row>
    <row r="13" spans="1:89" x14ac:dyDescent="0.2">
      <c r="A13" t="s">
        <v>2460</v>
      </c>
      <c r="D13" s="1">
        <v>17085</v>
      </c>
      <c r="E13">
        <v>1</v>
      </c>
      <c r="F13">
        <v>1</v>
      </c>
      <c r="G13">
        <f t="shared" si="6"/>
        <v>72</v>
      </c>
      <c r="H13">
        <v>1</v>
      </c>
      <c r="I13">
        <v>28.79</v>
      </c>
      <c r="J13" s="1">
        <v>43705</v>
      </c>
      <c r="K13" s="1">
        <v>44575</v>
      </c>
      <c r="L13">
        <v>856</v>
      </c>
      <c r="M13">
        <v>28.53</v>
      </c>
      <c r="N13" t="s">
        <v>2648</v>
      </c>
      <c r="O13">
        <v>1</v>
      </c>
      <c r="P13">
        <v>2</v>
      </c>
      <c r="Q13">
        <v>0</v>
      </c>
      <c r="R13" t="s">
        <v>2659</v>
      </c>
      <c r="S13">
        <v>1</v>
      </c>
      <c r="T13">
        <v>1</v>
      </c>
      <c r="U13">
        <v>80</v>
      </c>
      <c r="W13">
        <v>83</v>
      </c>
      <c r="X13">
        <v>5</v>
      </c>
      <c r="Y13" s="7">
        <f t="shared" si="7"/>
        <v>16.600000000000001</v>
      </c>
      <c r="Z13">
        <v>1</v>
      </c>
      <c r="AA13">
        <v>395</v>
      </c>
      <c r="AB13">
        <v>0</v>
      </c>
      <c r="AC13">
        <v>3</v>
      </c>
      <c r="AD13">
        <v>0</v>
      </c>
      <c r="AE13" t="s">
        <v>2636</v>
      </c>
      <c r="AF13">
        <v>2</v>
      </c>
      <c r="AG13" t="s">
        <v>2666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</v>
      </c>
      <c r="BC13" t="s">
        <v>2667</v>
      </c>
      <c r="BD13" t="s">
        <v>2668</v>
      </c>
      <c r="BE13" t="s">
        <v>2669</v>
      </c>
      <c r="BF13" t="s">
        <v>2670</v>
      </c>
      <c r="BG13">
        <v>4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f t="shared" ref="BP13:BP76" si="8">SUM(BH13:BO13)</f>
        <v>3</v>
      </c>
      <c r="BQ13">
        <v>0</v>
      </c>
      <c r="BR13">
        <v>0</v>
      </c>
      <c r="BV13">
        <v>0</v>
      </c>
      <c r="BW13">
        <v>0</v>
      </c>
      <c r="BY13">
        <v>0</v>
      </c>
      <c r="BZ13">
        <v>1</v>
      </c>
      <c r="CA13" s="1">
        <v>44964</v>
      </c>
      <c r="CB13">
        <f t="shared" si="0"/>
        <v>1259</v>
      </c>
      <c r="CC13">
        <f t="shared" si="1"/>
        <v>41</v>
      </c>
      <c r="CD13">
        <v>0</v>
      </c>
      <c r="CE13" s="1">
        <v>45702</v>
      </c>
      <c r="CF13">
        <f t="shared" si="2"/>
        <v>1997</v>
      </c>
      <c r="CG13">
        <f t="shared" si="3"/>
        <v>65</v>
      </c>
      <c r="CH13" s="1">
        <v>45702</v>
      </c>
      <c r="CI13">
        <f t="shared" si="4"/>
        <v>1997</v>
      </c>
      <c r="CJ13">
        <f t="shared" si="5"/>
        <v>65</v>
      </c>
    </row>
    <row r="14" spans="1:89" x14ac:dyDescent="0.2">
      <c r="A14" t="s">
        <v>2461</v>
      </c>
      <c r="D14" s="1">
        <v>21995</v>
      </c>
      <c r="E14">
        <v>1</v>
      </c>
      <c r="F14">
        <v>1</v>
      </c>
      <c r="G14">
        <f t="shared" si="6"/>
        <v>59</v>
      </c>
      <c r="H14">
        <v>1</v>
      </c>
      <c r="I14">
        <v>21.22</v>
      </c>
      <c r="J14" s="1">
        <v>43801</v>
      </c>
      <c r="K14" s="1">
        <v>44433</v>
      </c>
      <c r="L14">
        <v>623</v>
      </c>
      <c r="M14">
        <v>20.77</v>
      </c>
      <c r="N14" t="s">
        <v>2634</v>
      </c>
      <c r="O14">
        <v>0</v>
      </c>
      <c r="P14">
        <v>3</v>
      </c>
      <c r="Q14">
        <v>1</v>
      </c>
      <c r="R14" t="s">
        <v>2635</v>
      </c>
      <c r="S14">
        <v>1</v>
      </c>
      <c r="T14">
        <v>1</v>
      </c>
      <c r="U14">
        <v>60</v>
      </c>
      <c r="W14">
        <v>60</v>
      </c>
      <c r="X14">
        <v>27</v>
      </c>
      <c r="Y14" s="7">
        <f t="shared" si="7"/>
        <v>2.2222222222222223</v>
      </c>
      <c r="Z14">
        <v>0</v>
      </c>
      <c r="AA14">
        <v>703</v>
      </c>
      <c r="AB14">
        <v>1</v>
      </c>
      <c r="AC14">
        <v>3</v>
      </c>
      <c r="AD14">
        <v>2</v>
      </c>
      <c r="AE14" t="s">
        <v>2636</v>
      </c>
      <c r="AF14">
        <v>2</v>
      </c>
      <c r="AG14" t="s">
        <v>2671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  <c r="BC14" t="s">
        <v>2672</v>
      </c>
      <c r="BD14" t="s">
        <v>2639</v>
      </c>
      <c r="BE14" t="s">
        <v>2673</v>
      </c>
      <c r="BF14" t="s">
        <v>2641</v>
      </c>
      <c r="BG14">
        <v>4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  <c r="BP14">
        <f t="shared" si="8"/>
        <v>2</v>
      </c>
      <c r="BQ14">
        <v>0</v>
      </c>
      <c r="BR14">
        <v>0</v>
      </c>
      <c r="BV14">
        <v>0</v>
      </c>
      <c r="BW14">
        <v>0</v>
      </c>
      <c r="BY14">
        <v>0</v>
      </c>
      <c r="BZ14">
        <v>0</v>
      </c>
      <c r="CA14" s="1">
        <v>44433</v>
      </c>
      <c r="CB14">
        <f t="shared" si="0"/>
        <v>632</v>
      </c>
      <c r="CC14">
        <f t="shared" si="1"/>
        <v>20</v>
      </c>
      <c r="CD14">
        <v>1</v>
      </c>
      <c r="CE14" s="1">
        <v>44571</v>
      </c>
      <c r="CF14">
        <f t="shared" si="2"/>
        <v>770</v>
      </c>
      <c r="CG14">
        <f t="shared" si="3"/>
        <v>25</v>
      </c>
      <c r="CH14" s="1">
        <v>44571</v>
      </c>
      <c r="CI14">
        <f t="shared" si="4"/>
        <v>770</v>
      </c>
      <c r="CJ14">
        <f t="shared" si="5"/>
        <v>25</v>
      </c>
    </row>
    <row r="15" spans="1:89" x14ac:dyDescent="0.2">
      <c r="A15" t="s">
        <v>2462</v>
      </c>
      <c r="D15" s="1">
        <v>21562</v>
      </c>
      <c r="E15">
        <v>1</v>
      </c>
      <c r="F15">
        <v>1</v>
      </c>
      <c r="G15">
        <f t="shared" si="6"/>
        <v>58</v>
      </c>
      <c r="H15">
        <v>2</v>
      </c>
      <c r="I15">
        <v>20.420000000000002</v>
      </c>
      <c r="J15" s="1">
        <v>42836</v>
      </c>
      <c r="K15" s="1">
        <v>42843</v>
      </c>
      <c r="L15">
        <v>7</v>
      </c>
      <c r="M15">
        <v>0.23</v>
      </c>
      <c r="N15" t="s">
        <v>2634</v>
      </c>
      <c r="O15">
        <v>0</v>
      </c>
      <c r="P15">
        <v>1</v>
      </c>
      <c r="Q15">
        <v>3</v>
      </c>
      <c r="R15" t="s">
        <v>2635</v>
      </c>
      <c r="S15">
        <v>1</v>
      </c>
      <c r="T15">
        <v>1</v>
      </c>
      <c r="U15" t="s">
        <v>2674</v>
      </c>
      <c r="V15" t="s">
        <v>2675</v>
      </c>
      <c r="W15">
        <v>86.9</v>
      </c>
      <c r="X15">
        <v>7.2</v>
      </c>
      <c r="Y15" s="7">
        <f t="shared" si="7"/>
        <v>12.069444444444445</v>
      </c>
      <c r="Z15">
        <v>1</v>
      </c>
      <c r="AA15">
        <v>259</v>
      </c>
      <c r="AB15">
        <v>0</v>
      </c>
      <c r="AC15">
        <v>3</v>
      </c>
      <c r="AD15">
        <v>2</v>
      </c>
      <c r="AE15" t="s">
        <v>2636</v>
      </c>
      <c r="AF15">
        <v>2</v>
      </c>
      <c r="AG15" t="s">
        <v>2676</v>
      </c>
      <c r="AH15">
        <v>2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 t="s">
        <v>2672</v>
      </c>
      <c r="BD15" t="s">
        <v>2677</v>
      </c>
      <c r="BE15" t="s">
        <v>2678</v>
      </c>
      <c r="BF15" t="s">
        <v>2641</v>
      </c>
      <c r="BG15">
        <v>4</v>
      </c>
      <c r="BH15">
        <v>1</v>
      </c>
      <c r="BI15">
        <v>1</v>
      </c>
      <c r="BJ15">
        <v>1</v>
      </c>
      <c r="BK15">
        <v>1</v>
      </c>
      <c r="BL15">
        <v>0</v>
      </c>
      <c r="BM15">
        <v>0</v>
      </c>
      <c r="BN15">
        <v>1</v>
      </c>
      <c r="BO15">
        <v>3</v>
      </c>
      <c r="BP15">
        <f t="shared" si="8"/>
        <v>8</v>
      </c>
      <c r="BQ15">
        <v>1</v>
      </c>
      <c r="BR15">
        <v>1</v>
      </c>
      <c r="BS15" s="1">
        <v>42857</v>
      </c>
      <c r="BT15">
        <f>DATEDIF(J15,BS15,"d")</f>
        <v>21</v>
      </c>
      <c r="BU15">
        <f>DATEDIF(J15,BS15,"m")</f>
        <v>0</v>
      </c>
      <c r="BV15">
        <v>1</v>
      </c>
      <c r="BW15">
        <v>0</v>
      </c>
      <c r="BY15">
        <v>0</v>
      </c>
      <c r="BZ15">
        <v>1</v>
      </c>
      <c r="CA15" s="1">
        <v>42857</v>
      </c>
      <c r="CB15">
        <f t="shared" si="0"/>
        <v>21</v>
      </c>
      <c r="CC15">
        <f t="shared" si="1"/>
        <v>0</v>
      </c>
      <c r="CD15">
        <v>1</v>
      </c>
      <c r="CE15" s="1">
        <v>42880</v>
      </c>
      <c r="CF15">
        <f t="shared" si="2"/>
        <v>44</v>
      </c>
      <c r="CG15">
        <f t="shared" si="3"/>
        <v>1</v>
      </c>
      <c r="CH15" s="1">
        <v>42888</v>
      </c>
      <c r="CI15">
        <f t="shared" si="4"/>
        <v>52</v>
      </c>
      <c r="CJ15">
        <f t="shared" si="5"/>
        <v>1</v>
      </c>
    </row>
    <row r="16" spans="1:89" x14ac:dyDescent="0.2">
      <c r="A16" t="s">
        <v>2463</v>
      </c>
      <c r="D16" s="1">
        <v>17784</v>
      </c>
      <c r="E16">
        <v>1</v>
      </c>
      <c r="F16">
        <v>1</v>
      </c>
      <c r="G16">
        <f t="shared" si="6"/>
        <v>69</v>
      </c>
      <c r="H16">
        <v>2</v>
      </c>
      <c r="I16">
        <v>31.13</v>
      </c>
      <c r="J16" s="1">
        <v>43125</v>
      </c>
      <c r="K16" s="1">
        <v>43657</v>
      </c>
      <c r="L16">
        <v>526</v>
      </c>
      <c r="M16">
        <v>17.53</v>
      </c>
      <c r="N16" t="s">
        <v>2679</v>
      </c>
      <c r="O16">
        <v>1</v>
      </c>
      <c r="P16">
        <v>3</v>
      </c>
      <c r="Q16">
        <v>0</v>
      </c>
      <c r="R16" t="s">
        <v>2659</v>
      </c>
      <c r="S16">
        <v>1</v>
      </c>
      <c r="T16">
        <v>1</v>
      </c>
      <c r="U16">
        <v>1</v>
      </c>
      <c r="V16">
        <v>0</v>
      </c>
      <c r="W16">
        <v>50</v>
      </c>
      <c r="X16">
        <v>32</v>
      </c>
      <c r="Y16" s="7">
        <f t="shared" si="7"/>
        <v>1.5625</v>
      </c>
      <c r="Z16">
        <v>0</v>
      </c>
      <c r="AA16">
        <v>187</v>
      </c>
      <c r="AB16">
        <v>0</v>
      </c>
      <c r="AC16">
        <v>0</v>
      </c>
      <c r="AD16">
        <v>1</v>
      </c>
      <c r="AE16">
        <v>10</v>
      </c>
      <c r="AF16">
        <v>1</v>
      </c>
      <c r="AG16" t="s">
        <v>2680</v>
      </c>
      <c r="AH16">
        <v>1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2</v>
      </c>
      <c r="BC16" t="s">
        <v>2647</v>
      </c>
      <c r="BD16" t="s">
        <v>2639</v>
      </c>
      <c r="BE16" t="s">
        <v>2673</v>
      </c>
      <c r="BF16" t="s">
        <v>2681</v>
      </c>
      <c r="BG16">
        <v>4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f t="shared" si="8"/>
        <v>4</v>
      </c>
      <c r="BQ16">
        <v>0</v>
      </c>
      <c r="BR16">
        <v>0</v>
      </c>
      <c r="BV16">
        <v>0</v>
      </c>
      <c r="BW16">
        <v>0</v>
      </c>
      <c r="BY16">
        <v>0</v>
      </c>
      <c r="BZ16">
        <v>1</v>
      </c>
      <c r="CA16" s="1">
        <v>43654</v>
      </c>
      <c r="CB16">
        <f t="shared" si="0"/>
        <v>529</v>
      </c>
      <c r="CC16">
        <f t="shared" si="1"/>
        <v>17</v>
      </c>
      <c r="CD16">
        <v>0</v>
      </c>
      <c r="CE16" s="1">
        <v>45740</v>
      </c>
      <c r="CF16">
        <f t="shared" si="2"/>
        <v>2615</v>
      </c>
      <c r="CG16">
        <f t="shared" si="3"/>
        <v>85</v>
      </c>
      <c r="CH16" s="1">
        <v>45740</v>
      </c>
      <c r="CI16">
        <f t="shared" si="4"/>
        <v>2615</v>
      </c>
      <c r="CJ16">
        <f t="shared" si="5"/>
        <v>85</v>
      </c>
    </row>
    <row r="17" spans="1:88" x14ac:dyDescent="0.2">
      <c r="A17" t="s">
        <v>2464</v>
      </c>
      <c r="D17" s="1">
        <v>19058</v>
      </c>
      <c r="E17">
        <v>1</v>
      </c>
      <c r="F17">
        <v>1</v>
      </c>
      <c r="G17">
        <f t="shared" si="6"/>
        <v>65</v>
      </c>
      <c r="H17">
        <v>2</v>
      </c>
      <c r="I17">
        <v>31.83</v>
      </c>
      <c r="J17" s="1">
        <v>43112</v>
      </c>
      <c r="K17" s="1">
        <v>43767</v>
      </c>
      <c r="L17">
        <v>647</v>
      </c>
      <c r="M17">
        <v>21.57</v>
      </c>
      <c r="N17" t="s">
        <v>2634</v>
      </c>
      <c r="O17">
        <v>0</v>
      </c>
      <c r="P17">
        <v>2</v>
      </c>
      <c r="Q17">
        <v>0</v>
      </c>
      <c r="R17" t="s">
        <v>2659</v>
      </c>
      <c r="S17">
        <v>1</v>
      </c>
      <c r="T17">
        <v>1</v>
      </c>
      <c r="U17">
        <v>50</v>
      </c>
      <c r="V17" t="s">
        <v>2682</v>
      </c>
      <c r="W17">
        <v>64</v>
      </c>
      <c r="X17">
        <v>24</v>
      </c>
      <c r="Y17" s="7">
        <f t="shared" si="7"/>
        <v>2.6666666666666665</v>
      </c>
      <c r="Z17">
        <v>0</v>
      </c>
      <c r="AA17">
        <v>287</v>
      </c>
      <c r="AB17">
        <v>0</v>
      </c>
      <c r="AC17">
        <v>2</v>
      </c>
      <c r="AD17">
        <v>2</v>
      </c>
      <c r="AE17">
        <v>10</v>
      </c>
      <c r="AF17">
        <v>1</v>
      </c>
      <c r="AG17" t="s">
        <v>2581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 t="s">
        <v>2683</v>
      </c>
      <c r="BD17" t="s">
        <v>2684</v>
      </c>
      <c r="BE17" t="s">
        <v>2685</v>
      </c>
      <c r="BF17" t="s">
        <v>2681</v>
      </c>
      <c r="BG17">
        <v>4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f t="shared" si="8"/>
        <v>2</v>
      </c>
      <c r="BQ17">
        <v>0</v>
      </c>
      <c r="BR17">
        <v>0</v>
      </c>
      <c r="BV17">
        <v>0</v>
      </c>
      <c r="BW17">
        <v>0</v>
      </c>
      <c r="BY17">
        <v>0</v>
      </c>
      <c r="BZ17">
        <v>1</v>
      </c>
      <c r="CA17" s="1">
        <v>43678</v>
      </c>
      <c r="CB17">
        <f t="shared" si="0"/>
        <v>566</v>
      </c>
      <c r="CC17">
        <f t="shared" si="1"/>
        <v>18</v>
      </c>
      <c r="CD17">
        <v>1</v>
      </c>
      <c r="CE17" s="1">
        <v>43773</v>
      </c>
      <c r="CF17">
        <f t="shared" si="2"/>
        <v>661</v>
      </c>
      <c r="CG17">
        <f t="shared" si="3"/>
        <v>21</v>
      </c>
      <c r="CH17" s="1">
        <v>43773</v>
      </c>
      <c r="CI17">
        <f t="shared" si="4"/>
        <v>661</v>
      </c>
      <c r="CJ17">
        <f t="shared" si="5"/>
        <v>21</v>
      </c>
    </row>
    <row r="18" spans="1:88" x14ac:dyDescent="0.2">
      <c r="A18" t="s">
        <v>2465</v>
      </c>
      <c r="D18" s="1">
        <v>21480</v>
      </c>
      <c r="E18">
        <v>1</v>
      </c>
      <c r="F18">
        <v>1</v>
      </c>
      <c r="G18">
        <f t="shared" si="6"/>
        <v>60</v>
      </c>
      <c r="H18">
        <v>1</v>
      </c>
      <c r="I18">
        <v>24.1</v>
      </c>
      <c r="J18" s="1">
        <v>43720</v>
      </c>
      <c r="K18" s="1">
        <v>44438</v>
      </c>
      <c r="L18">
        <v>708</v>
      </c>
      <c r="M18">
        <v>23.6</v>
      </c>
      <c r="N18" t="s">
        <v>2634</v>
      </c>
      <c r="O18">
        <v>0</v>
      </c>
      <c r="P18">
        <v>2</v>
      </c>
      <c r="Q18">
        <v>0</v>
      </c>
      <c r="R18" t="s">
        <v>2686</v>
      </c>
      <c r="S18">
        <v>4</v>
      </c>
      <c r="T18">
        <v>1</v>
      </c>
      <c r="U18">
        <v>95</v>
      </c>
      <c r="W18">
        <v>65</v>
      </c>
      <c r="X18">
        <v>23</v>
      </c>
      <c r="Y18" s="7">
        <f t="shared" si="7"/>
        <v>2.8260869565217392</v>
      </c>
      <c r="Z18">
        <v>0</v>
      </c>
      <c r="AA18">
        <v>258</v>
      </c>
      <c r="AB18">
        <v>0</v>
      </c>
      <c r="AC18">
        <v>3</v>
      </c>
      <c r="AD18">
        <v>2</v>
      </c>
      <c r="AE18" t="s">
        <v>2636</v>
      </c>
      <c r="AF18">
        <v>2</v>
      </c>
      <c r="AG18" t="s">
        <v>2687</v>
      </c>
      <c r="AH18">
        <v>2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F18" t="s">
        <v>2641</v>
      </c>
      <c r="BG18">
        <v>4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f t="shared" si="8"/>
        <v>0</v>
      </c>
      <c r="BQ18">
        <v>0</v>
      </c>
      <c r="BR18">
        <v>0</v>
      </c>
      <c r="BV18">
        <v>0</v>
      </c>
      <c r="BW18">
        <v>0</v>
      </c>
      <c r="BY18">
        <v>0</v>
      </c>
      <c r="BZ18">
        <v>0</v>
      </c>
      <c r="CA18" s="1">
        <v>45377</v>
      </c>
      <c r="CB18">
        <f t="shared" si="0"/>
        <v>1657</v>
      </c>
      <c r="CC18">
        <f t="shared" si="1"/>
        <v>54</v>
      </c>
      <c r="CD18">
        <v>0</v>
      </c>
      <c r="CE18" s="1">
        <v>45377</v>
      </c>
      <c r="CF18">
        <f t="shared" si="2"/>
        <v>1657</v>
      </c>
      <c r="CG18">
        <f t="shared" si="3"/>
        <v>54</v>
      </c>
      <c r="CH18" s="1">
        <v>45377</v>
      </c>
      <c r="CI18">
        <f t="shared" si="4"/>
        <v>1657</v>
      </c>
      <c r="CJ18">
        <f t="shared" si="5"/>
        <v>54</v>
      </c>
    </row>
    <row r="19" spans="1:88" x14ac:dyDescent="0.2">
      <c r="A19" t="s">
        <v>2466</v>
      </c>
      <c r="D19" s="1">
        <v>17379</v>
      </c>
      <c r="E19">
        <v>1</v>
      </c>
      <c r="F19">
        <v>1</v>
      </c>
      <c r="G19">
        <f t="shared" si="6"/>
        <v>68</v>
      </c>
      <c r="H19">
        <v>1</v>
      </c>
      <c r="I19">
        <v>28.58</v>
      </c>
      <c r="J19" s="1">
        <v>42410</v>
      </c>
      <c r="K19" s="1">
        <v>42532</v>
      </c>
      <c r="L19">
        <v>121</v>
      </c>
      <c r="M19">
        <v>4.03</v>
      </c>
      <c r="N19" t="s">
        <v>2679</v>
      </c>
      <c r="O19">
        <v>1</v>
      </c>
      <c r="P19">
        <v>2</v>
      </c>
      <c r="Q19">
        <v>0</v>
      </c>
      <c r="R19" t="s">
        <v>2688</v>
      </c>
      <c r="S19">
        <v>2</v>
      </c>
      <c r="T19">
        <v>2</v>
      </c>
      <c r="U19" t="s">
        <v>2636</v>
      </c>
      <c r="W19">
        <v>49</v>
      </c>
      <c r="X19">
        <v>40</v>
      </c>
      <c r="Y19" s="7">
        <f t="shared" si="7"/>
        <v>1.2250000000000001</v>
      </c>
      <c r="Z19">
        <v>0</v>
      </c>
      <c r="AA19">
        <v>394</v>
      </c>
      <c r="AB19">
        <v>0</v>
      </c>
      <c r="AC19">
        <v>2</v>
      </c>
      <c r="AD19">
        <v>2</v>
      </c>
      <c r="AE19" t="s">
        <v>2636</v>
      </c>
      <c r="AF19">
        <v>2</v>
      </c>
      <c r="AG19" t="s">
        <v>2689</v>
      </c>
      <c r="AH19">
        <v>1</v>
      </c>
      <c r="AI19">
        <v>2</v>
      </c>
      <c r="AJ19">
        <v>2</v>
      </c>
      <c r="AK19">
        <v>2</v>
      </c>
      <c r="AL19">
        <v>2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2</v>
      </c>
      <c r="AX19">
        <v>0</v>
      </c>
      <c r="AY19">
        <v>0</v>
      </c>
      <c r="AZ19">
        <v>0</v>
      </c>
      <c r="BA19">
        <v>1</v>
      </c>
      <c r="BB19">
        <v>0</v>
      </c>
      <c r="BC19" t="s">
        <v>2690</v>
      </c>
      <c r="BD19" t="s">
        <v>2677</v>
      </c>
      <c r="BE19" t="s">
        <v>2673</v>
      </c>
      <c r="BF19" t="s">
        <v>2641</v>
      </c>
      <c r="BG19">
        <v>4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f t="shared" si="8"/>
        <v>2</v>
      </c>
      <c r="BQ19">
        <v>0</v>
      </c>
      <c r="BR19">
        <v>0</v>
      </c>
      <c r="BV19">
        <v>0</v>
      </c>
      <c r="BW19">
        <v>0</v>
      </c>
      <c r="BY19">
        <v>0</v>
      </c>
      <c r="BZ19">
        <v>1</v>
      </c>
      <c r="CA19" s="1">
        <v>42536</v>
      </c>
      <c r="CB19">
        <f t="shared" si="0"/>
        <v>126</v>
      </c>
      <c r="CC19">
        <f t="shared" si="1"/>
        <v>4</v>
      </c>
      <c r="CD19">
        <v>1</v>
      </c>
      <c r="CE19" s="1">
        <v>42814</v>
      </c>
      <c r="CF19">
        <f t="shared" si="2"/>
        <v>404</v>
      </c>
      <c r="CG19">
        <f t="shared" si="3"/>
        <v>13</v>
      </c>
      <c r="CH19" s="1">
        <v>42814</v>
      </c>
      <c r="CI19">
        <f t="shared" si="4"/>
        <v>404</v>
      </c>
      <c r="CJ19">
        <f t="shared" si="5"/>
        <v>13</v>
      </c>
    </row>
    <row r="20" spans="1:88" x14ac:dyDescent="0.2">
      <c r="A20" t="s">
        <v>2467</v>
      </c>
      <c r="D20" s="1">
        <v>15043</v>
      </c>
      <c r="E20">
        <v>1</v>
      </c>
      <c r="F20">
        <v>1</v>
      </c>
      <c r="G20">
        <f t="shared" si="6"/>
        <v>75</v>
      </c>
      <c r="H20">
        <v>2</v>
      </c>
      <c r="I20">
        <v>24.96</v>
      </c>
      <c r="J20" s="1">
        <v>42592</v>
      </c>
      <c r="K20" s="1">
        <v>42845</v>
      </c>
      <c r="L20">
        <v>250</v>
      </c>
      <c r="M20">
        <v>8.33</v>
      </c>
      <c r="N20" t="s">
        <v>2679</v>
      </c>
      <c r="O20">
        <v>1</v>
      </c>
      <c r="P20">
        <v>2</v>
      </c>
      <c r="Q20">
        <v>0</v>
      </c>
      <c r="R20" t="s">
        <v>2688</v>
      </c>
      <c r="S20">
        <v>2</v>
      </c>
      <c r="T20">
        <v>0</v>
      </c>
      <c r="U20">
        <v>0</v>
      </c>
      <c r="W20">
        <v>87</v>
      </c>
      <c r="X20">
        <v>5</v>
      </c>
      <c r="Y20" s="7">
        <f t="shared" si="7"/>
        <v>17.399999999999999</v>
      </c>
      <c r="Z20">
        <v>1</v>
      </c>
      <c r="AA20">
        <v>262</v>
      </c>
      <c r="AB20">
        <v>0</v>
      </c>
      <c r="AC20">
        <v>3</v>
      </c>
      <c r="AD20">
        <v>2</v>
      </c>
      <c r="AE20" t="s">
        <v>2636</v>
      </c>
      <c r="AF20">
        <v>2</v>
      </c>
      <c r="AG20" t="s">
        <v>2691</v>
      </c>
      <c r="AH20">
        <v>1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1</v>
      </c>
      <c r="BC20" t="s">
        <v>2644</v>
      </c>
      <c r="BD20" t="s">
        <v>2639</v>
      </c>
      <c r="BE20" t="s">
        <v>2678</v>
      </c>
      <c r="BF20" t="s">
        <v>2641</v>
      </c>
      <c r="BG20">
        <v>4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f t="shared" si="8"/>
        <v>2</v>
      </c>
      <c r="BQ20">
        <v>1</v>
      </c>
      <c r="BR20">
        <v>2</v>
      </c>
      <c r="BS20" s="1">
        <v>42784</v>
      </c>
      <c r="BT20">
        <f>DATEDIF(J20,BS20,"d")</f>
        <v>192</v>
      </c>
      <c r="BU20">
        <f>DATEDIF(J20,BS20,"m")</f>
        <v>6</v>
      </c>
      <c r="BV20">
        <v>1</v>
      </c>
      <c r="BW20">
        <v>0</v>
      </c>
      <c r="BY20">
        <v>0</v>
      </c>
      <c r="BZ20">
        <v>1</v>
      </c>
      <c r="CA20" s="1">
        <v>42878</v>
      </c>
      <c r="CB20">
        <f t="shared" si="0"/>
        <v>286</v>
      </c>
      <c r="CC20">
        <f t="shared" si="1"/>
        <v>9</v>
      </c>
      <c r="CD20">
        <v>1</v>
      </c>
      <c r="CE20" s="1">
        <v>42907</v>
      </c>
      <c r="CF20">
        <f t="shared" si="2"/>
        <v>315</v>
      </c>
      <c r="CG20">
        <f t="shared" si="3"/>
        <v>10</v>
      </c>
      <c r="CH20" s="1">
        <v>42950</v>
      </c>
      <c r="CI20">
        <f t="shared" si="4"/>
        <v>358</v>
      </c>
      <c r="CJ20">
        <f t="shared" si="5"/>
        <v>11</v>
      </c>
    </row>
    <row r="21" spans="1:88" x14ac:dyDescent="0.2">
      <c r="A21" t="s">
        <v>2468</v>
      </c>
      <c r="D21" s="1">
        <v>11077</v>
      </c>
      <c r="E21">
        <v>1</v>
      </c>
      <c r="F21">
        <v>1</v>
      </c>
      <c r="G21">
        <f t="shared" si="6"/>
        <v>87</v>
      </c>
      <c r="H21">
        <v>2</v>
      </c>
      <c r="I21">
        <v>26.26</v>
      </c>
      <c r="J21" s="1">
        <v>42955</v>
      </c>
      <c r="K21" s="1">
        <v>43090</v>
      </c>
      <c r="L21">
        <v>133</v>
      </c>
      <c r="M21">
        <v>4.43</v>
      </c>
      <c r="N21" t="s">
        <v>2634</v>
      </c>
      <c r="O21">
        <v>0</v>
      </c>
      <c r="P21">
        <v>1</v>
      </c>
      <c r="Q21">
        <v>1</v>
      </c>
      <c r="R21" t="s">
        <v>2659</v>
      </c>
      <c r="S21">
        <v>1</v>
      </c>
      <c r="T21">
        <v>1</v>
      </c>
      <c r="U21">
        <v>90</v>
      </c>
      <c r="V21">
        <v>70</v>
      </c>
      <c r="W21">
        <v>38</v>
      </c>
      <c r="X21">
        <v>44</v>
      </c>
      <c r="Y21" s="7">
        <f t="shared" si="7"/>
        <v>0.86363636363636365</v>
      </c>
      <c r="Z21">
        <v>0</v>
      </c>
      <c r="AA21">
        <v>193</v>
      </c>
      <c r="AB21">
        <v>0</v>
      </c>
      <c r="AC21">
        <v>3</v>
      </c>
      <c r="AD21">
        <v>2</v>
      </c>
      <c r="AE21" t="s">
        <v>2636</v>
      </c>
      <c r="AF21">
        <v>2</v>
      </c>
      <c r="AG21" t="s">
        <v>2692</v>
      </c>
      <c r="AH21">
        <v>1</v>
      </c>
      <c r="AI21">
        <v>0</v>
      </c>
      <c r="AJ21">
        <v>0</v>
      </c>
      <c r="AK21">
        <v>1</v>
      </c>
      <c r="AL21">
        <v>2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</v>
      </c>
      <c r="AX21">
        <v>0</v>
      </c>
      <c r="AY21">
        <v>0</v>
      </c>
      <c r="AZ21">
        <v>0</v>
      </c>
      <c r="BA21">
        <v>0</v>
      </c>
      <c r="BB21">
        <v>0</v>
      </c>
      <c r="BF21" t="s">
        <v>2641</v>
      </c>
      <c r="BG21">
        <v>4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f t="shared" si="8"/>
        <v>1</v>
      </c>
      <c r="BQ21">
        <v>0</v>
      </c>
      <c r="BR21">
        <v>0</v>
      </c>
      <c r="BV21">
        <v>0</v>
      </c>
      <c r="BW21">
        <v>0</v>
      </c>
      <c r="BY21">
        <v>0</v>
      </c>
      <c r="BZ21">
        <v>0</v>
      </c>
      <c r="CA21" s="1">
        <v>43104</v>
      </c>
      <c r="CB21">
        <f t="shared" si="0"/>
        <v>149</v>
      </c>
      <c r="CC21">
        <f t="shared" si="1"/>
        <v>4</v>
      </c>
      <c r="CD21">
        <v>1</v>
      </c>
      <c r="CE21" s="1">
        <v>43104</v>
      </c>
      <c r="CF21">
        <f t="shared" si="2"/>
        <v>149</v>
      </c>
      <c r="CG21">
        <f t="shared" si="3"/>
        <v>4</v>
      </c>
      <c r="CH21" s="1">
        <v>43113</v>
      </c>
      <c r="CI21">
        <f t="shared" si="4"/>
        <v>158</v>
      </c>
      <c r="CJ21">
        <f t="shared" si="5"/>
        <v>5</v>
      </c>
    </row>
    <row r="22" spans="1:88" x14ac:dyDescent="0.2">
      <c r="A22" t="s">
        <v>2469</v>
      </c>
      <c r="D22" s="1">
        <v>23247</v>
      </c>
      <c r="E22">
        <v>1</v>
      </c>
      <c r="F22">
        <v>1</v>
      </c>
      <c r="G22">
        <f t="shared" si="6"/>
        <v>54</v>
      </c>
      <c r="H22">
        <v>2</v>
      </c>
      <c r="I22">
        <v>27.65</v>
      </c>
      <c r="J22" s="1">
        <v>43133</v>
      </c>
      <c r="K22" s="1">
        <v>43598</v>
      </c>
      <c r="L22">
        <v>461</v>
      </c>
      <c r="M22">
        <v>15.37</v>
      </c>
      <c r="N22" t="s">
        <v>2679</v>
      </c>
      <c r="O22">
        <v>1</v>
      </c>
      <c r="P22">
        <v>2</v>
      </c>
      <c r="Q22">
        <v>0</v>
      </c>
      <c r="R22" t="s">
        <v>2659</v>
      </c>
      <c r="S22">
        <v>1</v>
      </c>
      <c r="T22">
        <v>1</v>
      </c>
      <c r="U22">
        <v>10</v>
      </c>
      <c r="V22" t="s">
        <v>2693</v>
      </c>
      <c r="W22">
        <v>65</v>
      </c>
      <c r="X22">
        <v>16</v>
      </c>
      <c r="Y22" s="7">
        <f t="shared" si="7"/>
        <v>4.0625</v>
      </c>
      <c r="Z22">
        <v>0</v>
      </c>
      <c r="AA22">
        <v>252</v>
      </c>
      <c r="AB22">
        <v>0</v>
      </c>
      <c r="AC22">
        <v>2</v>
      </c>
      <c r="AD22">
        <v>0</v>
      </c>
      <c r="AE22">
        <v>8.8000000000000007</v>
      </c>
      <c r="AF22">
        <v>1</v>
      </c>
      <c r="AG22" t="s">
        <v>2694</v>
      </c>
      <c r="AH22">
        <v>1</v>
      </c>
      <c r="AI22">
        <v>1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 t="s">
        <v>2644</v>
      </c>
      <c r="BD22" t="s">
        <v>2695</v>
      </c>
      <c r="BE22" t="s">
        <v>2696</v>
      </c>
      <c r="BF22" t="s">
        <v>2641</v>
      </c>
      <c r="BG22">
        <v>4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2</v>
      </c>
      <c r="BP22">
        <f t="shared" si="8"/>
        <v>6</v>
      </c>
      <c r="BQ22">
        <v>1</v>
      </c>
      <c r="BR22">
        <v>2</v>
      </c>
      <c r="BS22" s="1">
        <v>44397</v>
      </c>
      <c r="BT22">
        <f>DATEDIF(J22,BS22,"d")</f>
        <v>1264</v>
      </c>
      <c r="BU22">
        <f>DATEDIF(J22,BS22,"m")</f>
        <v>41</v>
      </c>
      <c r="BV22">
        <v>1</v>
      </c>
      <c r="BW22">
        <v>0</v>
      </c>
      <c r="BY22">
        <v>0</v>
      </c>
      <c r="BZ22">
        <v>1</v>
      </c>
      <c r="CA22" s="1">
        <v>43598</v>
      </c>
      <c r="CB22">
        <f t="shared" si="0"/>
        <v>465</v>
      </c>
      <c r="CC22">
        <f t="shared" si="1"/>
        <v>15</v>
      </c>
      <c r="CD22">
        <v>1</v>
      </c>
      <c r="CE22" s="1">
        <v>44389</v>
      </c>
      <c r="CF22">
        <f t="shared" si="2"/>
        <v>1256</v>
      </c>
      <c r="CG22">
        <f t="shared" si="3"/>
        <v>41</v>
      </c>
      <c r="CH22" s="1">
        <v>44399</v>
      </c>
      <c r="CI22">
        <f t="shared" si="4"/>
        <v>1266</v>
      </c>
      <c r="CJ22">
        <f t="shared" si="5"/>
        <v>41</v>
      </c>
    </row>
    <row r="23" spans="1:88" x14ac:dyDescent="0.2">
      <c r="A23" t="s">
        <v>2470</v>
      </c>
      <c r="D23" s="1">
        <v>15187</v>
      </c>
      <c r="E23">
        <v>0</v>
      </c>
      <c r="F23">
        <v>0</v>
      </c>
      <c r="G23">
        <f t="shared" si="6"/>
        <v>75</v>
      </c>
      <c r="H23">
        <v>1</v>
      </c>
      <c r="I23">
        <v>27.12</v>
      </c>
      <c r="J23" s="1">
        <v>42908</v>
      </c>
      <c r="K23" s="1">
        <v>43081</v>
      </c>
      <c r="L23">
        <v>170</v>
      </c>
      <c r="M23">
        <v>5.67</v>
      </c>
      <c r="N23" t="s">
        <v>2634</v>
      </c>
      <c r="O23">
        <v>0</v>
      </c>
      <c r="P23">
        <v>2</v>
      </c>
      <c r="Q23">
        <v>0</v>
      </c>
      <c r="R23" t="s">
        <v>2688</v>
      </c>
      <c r="S23">
        <v>2</v>
      </c>
      <c r="T23">
        <v>1</v>
      </c>
      <c r="U23">
        <v>10</v>
      </c>
      <c r="W23">
        <v>48.1</v>
      </c>
      <c r="X23">
        <v>36.799999999999997</v>
      </c>
      <c r="Y23" s="7">
        <f t="shared" si="7"/>
        <v>1.3070652173913044</v>
      </c>
      <c r="Z23">
        <v>0</v>
      </c>
      <c r="AA23">
        <v>322</v>
      </c>
      <c r="AB23">
        <v>0</v>
      </c>
      <c r="AC23">
        <v>3</v>
      </c>
      <c r="AD23">
        <v>2</v>
      </c>
      <c r="AE23" t="s">
        <v>2636</v>
      </c>
      <c r="AF23">
        <v>2</v>
      </c>
      <c r="AG23" t="s">
        <v>2697</v>
      </c>
      <c r="AH23">
        <v>1</v>
      </c>
      <c r="AI23">
        <v>2</v>
      </c>
      <c r="AJ23">
        <v>2</v>
      </c>
      <c r="AK23">
        <v>0</v>
      </c>
      <c r="AL23">
        <v>2</v>
      </c>
      <c r="AM23">
        <v>1</v>
      </c>
      <c r="AN23">
        <v>0</v>
      </c>
      <c r="AO23">
        <v>2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0</v>
      </c>
      <c r="BC23" t="s">
        <v>2650</v>
      </c>
      <c r="BD23" t="s">
        <v>2639</v>
      </c>
      <c r="BE23" t="s">
        <v>2698</v>
      </c>
      <c r="BF23" t="s">
        <v>2663</v>
      </c>
      <c r="BG23">
        <v>3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f t="shared" si="8"/>
        <v>1</v>
      </c>
      <c r="BQ23">
        <v>0</v>
      </c>
      <c r="BR23">
        <v>0</v>
      </c>
      <c r="BV23">
        <v>0</v>
      </c>
      <c r="BW23">
        <v>0</v>
      </c>
      <c r="BY23">
        <v>0</v>
      </c>
      <c r="BZ23">
        <v>1</v>
      </c>
      <c r="CA23" s="1">
        <v>43072</v>
      </c>
      <c r="CB23">
        <f t="shared" si="0"/>
        <v>164</v>
      </c>
      <c r="CC23">
        <f t="shared" si="1"/>
        <v>5</v>
      </c>
      <c r="CD23">
        <v>0</v>
      </c>
      <c r="CE23" s="1">
        <v>43104</v>
      </c>
      <c r="CF23">
        <f t="shared" si="2"/>
        <v>196</v>
      </c>
      <c r="CG23">
        <f t="shared" si="3"/>
        <v>6</v>
      </c>
      <c r="CH23" s="1">
        <v>43104</v>
      </c>
      <c r="CI23">
        <f t="shared" si="4"/>
        <v>196</v>
      </c>
      <c r="CJ23">
        <f t="shared" si="5"/>
        <v>6</v>
      </c>
    </row>
    <row r="24" spans="1:88" x14ac:dyDescent="0.2">
      <c r="A24" t="s">
        <v>2471</v>
      </c>
      <c r="D24" s="1">
        <v>9661</v>
      </c>
      <c r="E24">
        <v>0</v>
      </c>
      <c r="F24">
        <v>1</v>
      </c>
      <c r="G24">
        <f t="shared" si="6"/>
        <v>89</v>
      </c>
      <c r="H24">
        <v>1</v>
      </c>
      <c r="I24">
        <v>27.99</v>
      </c>
      <c r="J24" s="1">
        <v>42436</v>
      </c>
      <c r="K24" s="1">
        <v>42873</v>
      </c>
      <c r="L24">
        <v>431</v>
      </c>
      <c r="M24">
        <v>14.37</v>
      </c>
      <c r="N24" t="s">
        <v>2699</v>
      </c>
      <c r="O24">
        <v>0</v>
      </c>
      <c r="P24">
        <v>2</v>
      </c>
      <c r="Q24">
        <v>1</v>
      </c>
      <c r="R24" t="s">
        <v>2688</v>
      </c>
      <c r="S24">
        <v>2</v>
      </c>
      <c r="T24">
        <v>2</v>
      </c>
      <c r="U24" t="s">
        <v>2636</v>
      </c>
      <c r="W24">
        <v>44</v>
      </c>
      <c r="X24">
        <v>48</v>
      </c>
      <c r="Y24" s="7">
        <f t="shared" si="7"/>
        <v>0.91666666666666663</v>
      </c>
      <c r="Z24">
        <v>0</v>
      </c>
      <c r="AA24">
        <v>450</v>
      </c>
      <c r="AB24">
        <v>1</v>
      </c>
      <c r="AC24">
        <v>2</v>
      </c>
      <c r="AD24">
        <v>2</v>
      </c>
      <c r="AE24" t="s">
        <v>2636</v>
      </c>
      <c r="AF24">
        <v>2</v>
      </c>
      <c r="AG24" t="s">
        <v>2700</v>
      </c>
      <c r="AH24">
        <v>1</v>
      </c>
      <c r="AI24">
        <v>0</v>
      </c>
      <c r="AJ24">
        <v>0</v>
      </c>
      <c r="AK24">
        <v>1</v>
      </c>
      <c r="AL24">
        <v>2</v>
      </c>
      <c r="AM24">
        <v>0</v>
      </c>
      <c r="AN24">
        <v>0</v>
      </c>
      <c r="AO24">
        <v>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2</v>
      </c>
      <c r="BF24" t="s">
        <v>2641</v>
      </c>
      <c r="BG24">
        <v>4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f t="shared" si="8"/>
        <v>2</v>
      </c>
      <c r="BQ24">
        <v>0</v>
      </c>
      <c r="BR24">
        <v>0</v>
      </c>
      <c r="BV24">
        <v>0</v>
      </c>
      <c r="BW24">
        <v>0</v>
      </c>
      <c r="BY24">
        <v>0</v>
      </c>
      <c r="BZ24">
        <v>1</v>
      </c>
      <c r="CA24" s="1">
        <v>42910</v>
      </c>
      <c r="CB24">
        <f t="shared" si="0"/>
        <v>474</v>
      </c>
      <c r="CC24">
        <f t="shared" si="1"/>
        <v>15</v>
      </c>
      <c r="CD24">
        <v>1</v>
      </c>
      <c r="CE24" s="1">
        <v>43112</v>
      </c>
      <c r="CF24">
        <f t="shared" si="2"/>
        <v>676</v>
      </c>
      <c r="CG24">
        <f t="shared" si="3"/>
        <v>22</v>
      </c>
      <c r="CH24" s="1">
        <v>43113</v>
      </c>
      <c r="CI24">
        <f t="shared" si="4"/>
        <v>677</v>
      </c>
      <c r="CJ24">
        <f t="shared" si="5"/>
        <v>22</v>
      </c>
    </row>
    <row r="25" spans="1:88" x14ac:dyDescent="0.2">
      <c r="A25" t="s">
        <v>2472</v>
      </c>
      <c r="D25" s="1">
        <v>15077</v>
      </c>
      <c r="E25">
        <v>1</v>
      </c>
      <c r="F25">
        <v>1</v>
      </c>
      <c r="G25">
        <f t="shared" si="6"/>
        <v>78</v>
      </c>
      <c r="H25">
        <v>1</v>
      </c>
      <c r="I25">
        <v>31.88</v>
      </c>
      <c r="J25" s="1">
        <v>43866</v>
      </c>
      <c r="K25" s="1">
        <v>43978</v>
      </c>
      <c r="L25">
        <v>112</v>
      </c>
      <c r="M25">
        <v>3.73</v>
      </c>
      <c r="N25" t="s">
        <v>2679</v>
      </c>
      <c r="O25">
        <v>1</v>
      </c>
      <c r="P25">
        <v>2</v>
      </c>
      <c r="Q25">
        <v>1</v>
      </c>
      <c r="R25" t="s">
        <v>2635</v>
      </c>
      <c r="S25">
        <v>1</v>
      </c>
      <c r="T25">
        <v>1</v>
      </c>
      <c r="U25">
        <v>10</v>
      </c>
      <c r="W25">
        <v>93</v>
      </c>
      <c r="X25">
        <v>4</v>
      </c>
      <c r="Y25" s="7">
        <f t="shared" si="7"/>
        <v>23.25</v>
      </c>
      <c r="Z25">
        <v>1</v>
      </c>
      <c r="AA25">
        <v>291</v>
      </c>
      <c r="AB25">
        <v>0</v>
      </c>
      <c r="AC25">
        <v>3</v>
      </c>
      <c r="AD25">
        <v>2</v>
      </c>
      <c r="AE25" t="s">
        <v>2636</v>
      </c>
      <c r="AF25">
        <v>2</v>
      </c>
      <c r="AG25" t="s">
        <v>2701</v>
      </c>
      <c r="AH25">
        <v>2</v>
      </c>
      <c r="AI25">
        <v>1</v>
      </c>
      <c r="AJ25">
        <v>1</v>
      </c>
      <c r="AK25">
        <v>0</v>
      </c>
      <c r="AL25">
        <v>2</v>
      </c>
      <c r="AM25">
        <v>0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1</v>
      </c>
      <c r="BF25" t="s">
        <v>2670</v>
      </c>
      <c r="BG25">
        <v>4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  <c r="BP25">
        <f t="shared" si="8"/>
        <v>4</v>
      </c>
      <c r="BQ25">
        <v>0</v>
      </c>
      <c r="BR25">
        <v>0</v>
      </c>
      <c r="BV25">
        <v>0</v>
      </c>
      <c r="BW25">
        <v>0</v>
      </c>
      <c r="BY25">
        <v>0</v>
      </c>
      <c r="BZ25">
        <v>1</v>
      </c>
      <c r="CA25" s="1">
        <v>43999</v>
      </c>
      <c r="CB25">
        <f t="shared" si="0"/>
        <v>133</v>
      </c>
      <c r="CC25">
        <f t="shared" si="1"/>
        <v>4</v>
      </c>
      <c r="CD25">
        <v>1</v>
      </c>
      <c r="CE25" s="1">
        <v>44153</v>
      </c>
      <c r="CF25">
        <f t="shared" si="2"/>
        <v>287</v>
      </c>
      <c r="CG25">
        <f t="shared" si="3"/>
        <v>9</v>
      </c>
      <c r="CH25" s="1">
        <v>44163</v>
      </c>
      <c r="CI25">
        <f t="shared" si="4"/>
        <v>297</v>
      </c>
      <c r="CJ25">
        <f t="shared" si="5"/>
        <v>9</v>
      </c>
    </row>
    <row r="26" spans="1:88" x14ac:dyDescent="0.2">
      <c r="A26" t="s">
        <v>2473</v>
      </c>
      <c r="D26" s="1">
        <v>19980</v>
      </c>
      <c r="E26">
        <v>1</v>
      </c>
      <c r="F26">
        <v>1</v>
      </c>
      <c r="G26">
        <f t="shared" si="6"/>
        <v>61</v>
      </c>
      <c r="H26">
        <v>2</v>
      </c>
      <c r="I26">
        <v>23.46</v>
      </c>
      <c r="J26" s="1">
        <v>42524</v>
      </c>
      <c r="K26" s="1">
        <v>42552</v>
      </c>
      <c r="L26">
        <v>28</v>
      </c>
      <c r="M26">
        <v>0.93</v>
      </c>
      <c r="N26" t="s">
        <v>2699</v>
      </c>
      <c r="O26">
        <v>0</v>
      </c>
      <c r="P26">
        <v>2</v>
      </c>
      <c r="Q26">
        <v>1</v>
      </c>
      <c r="R26" t="s">
        <v>2635</v>
      </c>
      <c r="S26">
        <v>1</v>
      </c>
      <c r="T26">
        <v>2</v>
      </c>
      <c r="U26" t="s">
        <v>2636</v>
      </c>
      <c r="W26">
        <v>81</v>
      </c>
      <c r="X26">
        <v>9</v>
      </c>
      <c r="Y26" s="7">
        <f t="shared" si="7"/>
        <v>9</v>
      </c>
      <c r="Z26">
        <v>1</v>
      </c>
      <c r="AA26">
        <v>263</v>
      </c>
      <c r="AB26">
        <v>0</v>
      </c>
      <c r="AC26">
        <v>3</v>
      </c>
      <c r="AD26">
        <v>2</v>
      </c>
      <c r="AE26" t="s">
        <v>2636</v>
      </c>
      <c r="AF26">
        <v>2</v>
      </c>
      <c r="AG26" t="s">
        <v>2702</v>
      </c>
      <c r="AH26">
        <v>2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0</v>
      </c>
      <c r="AY26">
        <v>0</v>
      </c>
      <c r="AZ26">
        <v>0</v>
      </c>
      <c r="BA26">
        <v>0</v>
      </c>
      <c r="BB26">
        <v>1</v>
      </c>
      <c r="BF26" t="s">
        <v>2641</v>
      </c>
      <c r="BG26">
        <v>4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1</v>
      </c>
      <c r="BP26">
        <f t="shared" si="8"/>
        <v>5</v>
      </c>
      <c r="BQ26">
        <v>1</v>
      </c>
      <c r="BR26">
        <v>2</v>
      </c>
      <c r="BS26" s="1">
        <v>42564</v>
      </c>
      <c r="BT26">
        <f>DATEDIF(J26,BS26,"d")</f>
        <v>40</v>
      </c>
      <c r="BU26">
        <f>DATEDIF(J26,BS26,"m")</f>
        <v>1</v>
      </c>
      <c r="BV26">
        <v>1</v>
      </c>
      <c r="BW26">
        <v>0</v>
      </c>
      <c r="BX26" t="s">
        <v>2703</v>
      </c>
      <c r="BY26">
        <v>0</v>
      </c>
      <c r="BZ26">
        <v>1</v>
      </c>
      <c r="CA26" s="1">
        <v>42553</v>
      </c>
      <c r="CB26">
        <f t="shared" si="0"/>
        <v>29</v>
      </c>
      <c r="CC26">
        <f t="shared" si="1"/>
        <v>0</v>
      </c>
      <c r="CD26">
        <v>1</v>
      </c>
      <c r="CE26" s="1">
        <v>42558</v>
      </c>
      <c r="CF26">
        <f t="shared" si="2"/>
        <v>34</v>
      </c>
      <c r="CG26">
        <f t="shared" si="3"/>
        <v>1</v>
      </c>
      <c r="CH26" s="1">
        <v>42579</v>
      </c>
      <c r="CI26">
        <f t="shared" si="4"/>
        <v>55</v>
      </c>
      <c r="CJ26">
        <f t="shared" si="5"/>
        <v>1</v>
      </c>
    </row>
    <row r="27" spans="1:88" x14ac:dyDescent="0.2">
      <c r="A27" t="s">
        <v>2474</v>
      </c>
      <c r="D27" s="1">
        <v>20397</v>
      </c>
      <c r="E27">
        <v>0</v>
      </c>
      <c r="F27">
        <v>0</v>
      </c>
      <c r="G27">
        <f t="shared" si="6"/>
        <v>61</v>
      </c>
      <c r="H27">
        <v>1</v>
      </c>
      <c r="I27">
        <v>28.18</v>
      </c>
      <c r="J27" s="1">
        <v>42993</v>
      </c>
      <c r="K27" s="1">
        <v>43042</v>
      </c>
      <c r="L27">
        <v>48</v>
      </c>
      <c r="M27">
        <v>1.6</v>
      </c>
      <c r="N27" t="s">
        <v>2699</v>
      </c>
      <c r="O27">
        <v>0</v>
      </c>
      <c r="P27">
        <v>2</v>
      </c>
      <c r="Q27">
        <v>0</v>
      </c>
      <c r="R27" t="s">
        <v>2688</v>
      </c>
      <c r="S27">
        <v>2</v>
      </c>
      <c r="T27">
        <v>1</v>
      </c>
      <c r="U27" s="8" t="s">
        <v>2704</v>
      </c>
      <c r="V27">
        <v>5</v>
      </c>
      <c r="W27">
        <v>61</v>
      </c>
      <c r="X27">
        <v>20</v>
      </c>
      <c r="Y27" s="7">
        <f t="shared" si="7"/>
        <v>3.05</v>
      </c>
      <c r="Z27">
        <v>0</v>
      </c>
      <c r="AA27">
        <v>163</v>
      </c>
      <c r="AB27">
        <v>0</v>
      </c>
      <c r="AC27">
        <v>3</v>
      </c>
      <c r="AD27">
        <v>2</v>
      </c>
      <c r="AE27" t="s">
        <v>2636</v>
      </c>
      <c r="AF27">
        <v>2</v>
      </c>
      <c r="AG27" t="s">
        <v>2581</v>
      </c>
      <c r="AH27">
        <v>1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0</v>
      </c>
      <c r="BC27" t="s">
        <v>2705</v>
      </c>
      <c r="BD27" t="s">
        <v>2695</v>
      </c>
      <c r="BE27" t="s">
        <v>2640</v>
      </c>
      <c r="BF27" t="s">
        <v>2641</v>
      </c>
      <c r="BG27">
        <v>4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f t="shared" si="8"/>
        <v>2</v>
      </c>
      <c r="BQ27">
        <v>1</v>
      </c>
      <c r="BR27">
        <v>2</v>
      </c>
      <c r="BS27" s="1">
        <v>43080</v>
      </c>
      <c r="BT27">
        <f>DATEDIF(J27,BS27,"d")</f>
        <v>87</v>
      </c>
      <c r="BU27">
        <f>DATEDIF(J27,BS27,"m")</f>
        <v>2</v>
      </c>
      <c r="BV27">
        <v>0</v>
      </c>
      <c r="BW27">
        <v>1</v>
      </c>
      <c r="BY27">
        <v>0</v>
      </c>
      <c r="BZ27">
        <v>1</v>
      </c>
      <c r="CA27" s="1">
        <v>43112</v>
      </c>
      <c r="CB27">
        <f t="shared" si="0"/>
        <v>119</v>
      </c>
      <c r="CC27">
        <f t="shared" si="1"/>
        <v>3</v>
      </c>
      <c r="CD27">
        <v>1</v>
      </c>
      <c r="CE27" s="1">
        <v>43112</v>
      </c>
      <c r="CF27">
        <f t="shared" si="2"/>
        <v>119</v>
      </c>
      <c r="CG27">
        <f t="shared" si="3"/>
        <v>3</v>
      </c>
      <c r="CH27" s="1">
        <v>43120</v>
      </c>
      <c r="CI27">
        <f t="shared" si="4"/>
        <v>127</v>
      </c>
      <c r="CJ27">
        <f t="shared" si="5"/>
        <v>4</v>
      </c>
    </row>
    <row r="28" spans="1:88" x14ac:dyDescent="0.2">
      <c r="A28" t="s">
        <v>2475</v>
      </c>
      <c r="D28" s="1">
        <v>17099</v>
      </c>
      <c r="E28">
        <v>0</v>
      </c>
      <c r="F28">
        <v>0</v>
      </c>
      <c r="G28">
        <f t="shared" si="6"/>
        <v>72</v>
      </c>
      <c r="H28">
        <v>1</v>
      </c>
      <c r="I28">
        <v>40.21</v>
      </c>
      <c r="J28" s="1">
        <v>43634</v>
      </c>
      <c r="K28" s="1">
        <v>43678</v>
      </c>
      <c r="L28">
        <v>43</v>
      </c>
      <c r="M28">
        <v>1.43</v>
      </c>
      <c r="N28" t="s">
        <v>2679</v>
      </c>
      <c r="O28">
        <v>1</v>
      </c>
      <c r="P28">
        <v>2</v>
      </c>
      <c r="Q28">
        <v>0</v>
      </c>
      <c r="R28" t="s">
        <v>2659</v>
      </c>
      <c r="S28">
        <v>1</v>
      </c>
      <c r="T28">
        <v>0</v>
      </c>
      <c r="U28">
        <v>0</v>
      </c>
      <c r="V28">
        <v>0</v>
      </c>
      <c r="W28">
        <v>66</v>
      </c>
      <c r="X28">
        <v>23</v>
      </c>
      <c r="Y28" s="7">
        <f t="shared" si="7"/>
        <v>2.8695652173913042</v>
      </c>
      <c r="Z28">
        <v>0</v>
      </c>
      <c r="AA28">
        <v>267</v>
      </c>
      <c r="AB28">
        <v>0</v>
      </c>
      <c r="AC28">
        <v>3</v>
      </c>
      <c r="AD28">
        <v>0</v>
      </c>
      <c r="AE28">
        <v>3.2</v>
      </c>
      <c r="AF28">
        <v>0</v>
      </c>
      <c r="AG28" t="s">
        <v>2706</v>
      </c>
      <c r="AH28">
        <v>2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 t="s">
        <v>2644</v>
      </c>
      <c r="BD28" t="s">
        <v>2639</v>
      </c>
      <c r="BE28" t="s">
        <v>2640</v>
      </c>
      <c r="BF28" t="s">
        <v>2641</v>
      </c>
      <c r="BG28">
        <v>4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f t="shared" si="8"/>
        <v>2</v>
      </c>
      <c r="BQ28">
        <v>0</v>
      </c>
      <c r="BR28">
        <v>0</v>
      </c>
      <c r="BV28">
        <v>0</v>
      </c>
      <c r="BW28">
        <v>0</v>
      </c>
      <c r="BY28">
        <v>0</v>
      </c>
      <c r="BZ28">
        <v>1</v>
      </c>
      <c r="CA28" s="1">
        <v>43678</v>
      </c>
      <c r="CB28">
        <f t="shared" si="0"/>
        <v>44</v>
      </c>
      <c r="CC28">
        <f t="shared" si="1"/>
        <v>1</v>
      </c>
      <c r="CD28">
        <v>1</v>
      </c>
      <c r="CE28" s="1">
        <v>43993</v>
      </c>
      <c r="CF28">
        <f t="shared" si="2"/>
        <v>359</v>
      </c>
      <c r="CG28">
        <f t="shared" si="3"/>
        <v>11</v>
      </c>
      <c r="CH28" s="1">
        <v>43993</v>
      </c>
      <c r="CI28">
        <f t="shared" si="4"/>
        <v>359</v>
      </c>
      <c r="CJ28">
        <f t="shared" si="5"/>
        <v>11</v>
      </c>
    </row>
    <row r="29" spans="1:88" x14ac:dyDescent="0.2">
      <c r="A29" t="s">
        <v>2476</v>
      </c>
      <c r="D29" s="1">
        <v>22493</v>
      </c>
      <c r="E29">
        <v>1</v>
      </c>
      <c r="F29">
        <v>1</v>
      </c>
      <c r="G29">
        <f t="shared" si="6"/>
        <v>58</v>
      </c>
      <c r="H29">
        <v>1</v>
      </c>
      <c r="I29">
        <v>20.079999999999998</v>
      </c>
      <c r="J29" s="1">
        <v>43804</v>
      </c>
      <c r="K29" s="1">
        <v>43846</v>
      </c>
      <c r="L29">
        <v>41</v>
      </c>
      <c r="M29">
        <v>1.37</v>
      </c>
      <c r="N29" t="s">
        <v>2679</v>
      </c>
      <c r="O29">
        <v>1</v>
      </c>
      <c r="P29">
        <v>2</v>
      </c>
      <c r="Q29">
        <v>0</v>
      </c>
      <c r="R29" t="s">
        <v>2659</v>
      </c>
      <c r="S29">
        <v>1</v>
      </c>
      <c r="T29">
        <v>1</v>
      </c>
      <c r="U29">
        <v>50</v>
      </c>
      <c r="W29">
        <v>65</v>
      </c>
      <c r="X29">
        <v>14</v>
      </c>
      <c r="Y29" s="7">
        <f t="shared" si="7"/>
        <v>4.6428571428571432</v>
      </c>
      <c r="Z29">
        <v>1</v>
      </c>
      <c r="AA29">
        <v>327</v>
      </c>
      <c r="AB29">
        <v>0</v>
      </c>
      <c r="AC29">
        <v>0</v>
      </c>
      <c r="AD29">
        <v>0</v>
      </c>
      <c r="AE29">
        <v>1.5</v>
      </c>
      <c r="AF29">
        <v>0</v>
      </c>
      <c r="AG29" t="s">
        <v>2707</v>
      </c>
      <c r="AH29">
        <v>2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1</v>
      </c>
      <c r="BC29" t="s">
        <v>2647</v>
      </c>
      <c r="BD29" t="s">
        <v>2695</v>
      </c>
      <c r="BE29" t="s">
        <v>2640</v>
      </c>
      <c r="BF29" t="s">
        <v>2641</v>
      </c>
      <c r="BG29">
        <v>4</v>
      </c>
      <c r="BH29">
        <v>1</v>
      </c>
      <c r="BI29">
        <v>0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1</v>
      </c>
      <c r="BP29">
        <f t="shared" si="8"/>
        <v>6</v>
      </c>
      <c r="BQ29">
        <v>0</v>
      </c>
      <c r="BR29">
        <v>0</v>
      </c>
      <c r="BV29">
        <v>0</v>
      </c>
      <c r="BW29">
        <v>0</v>
      </c>
      <c r="BY29">
        <v>0</v>
      </c>
      <c r="BZ29">
        <v>1</v>
      </c>
      <c r="CA29" s="1">
        <v>43846</v>
      </c>
      <c r="CB29">
        <f t="shared" si="0"/>
        <v>42</v>
      </c>
      <c r="CC29">
        <f t="shared" si="1"/>
        <v>1</v>
      </c>
      <c r="CD29">
        <v>1</v>
      </c>
      <c r="CE29" s="1">
        <v>44220</v>
      </c>
      <c r="CF29">
        <f t="shared" si="2"/>
        <v>416</v>
      </c>
      <c r="CG29">
        <f t="shared" si="3"/>
        <v>13</v>
      </c>
      <c r="CH29" s="1">
        <v>44220</v>
      </c>
      <c r="CI29">
        <f t="shared" si="4"/>
        <v>416</v>
      </c>
      <c r="CJ29">
        <f t="shared" si="5"/>
        <v>13</v>
      </c>
    </row>
    <row r="30" spans="1:88" x14ac:dyDescent="0.2">
      <c r="A30" t="s">
        <v>2477</v>
      </c>
      <c r="D30" s="1">
        <v>21988</v>
      </c>
      <c r="E30">
        <v>0</v>
      </c>
      <c r="F30">
        <v>0</v>
      </c>
      <c r="G30">
        <f t="shared" si="6"/>
        <v>58</v>
      </c>
      <c r="H30">
        <v>2</v>
      </c>
      <c r="I30">
        <v>28.41</v>
      </c>
      <c r="J30" s="1">
        <v>43319</v>
      </c>
      <c r="K30" s="1">
        <v>45001</v>
      </c>
      <c r="L30">
        <v>1659</v>
      </c>
      <c r="M30">
        <v>55.3</v>
      </c>
      <c r="N30" t="s">
        <v>2634</v>
      </c>
      <c r="O30">
        <v>0</v>
      </c>
      <c r="P30">
        <v>3</v>
      </c>
      <c r="Q30">
        <v>0</v>
      </c>
      <c r="R30" t="s">
        <v>2659</v>
      </c>
      <c r="S30">
        <v>1</v>
      </c>
      <c r="T30">
        <v>1</v>
      </c>
      <c r="U30">
        <v>90</v>
      </c>
      <c r="W30">
        <v>63</v>
      </c>
      <c r="X30">
        <v>25</v>
      </c>
      <c r="Y30" s="7">
        <f t="shared" si="7"/>
        <v>2.52</v>
      </c>
      <c r="Z30">
        <v>0</v>
      </c>
      <c r="AA30">
        <v>261</v>
      </c>
      <c r="AB30">
        <v>0</v>
      </c>
      <c r="AC30">
        <v>3</v>
      </c>
      <c r="AD30">
        <v>2</v>
      </c>
      <c r="AE30" t="s">
        <v>2636</v>
      </c>
      <c r="AF30">
        <v>2</v>
      </c>
      <c r="AG30" t="s">
        <v>2708</v>
      </c>
      <c r="AH30">
        <v>2</v>
      </c>
      <c r="AI30">
        <v>0</v>
      </c>
      <c r="AJ30">
        <v>0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 t="s">
        <v>2690</v>
      </c>
      <c r="BD30" t="s">
        <v>2639</v>
      </c>
      <c r="BE30" t="s">
        <v>2698</v>
      </c>
      <c r="BF30" t="s">
        <v>2709</v>
      </c>
      <c r="BG30">
        <v>3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f t="shared" si="8"/>
        <v>0</v>
      </c>
      <c r="BQ30">
        <v>0</v>
      </c>
      <c r="BR30">
        <v>0</v>
      </c>
      <c r="BV30">
        <v>0</v>
      </c>
      <c r="BW30">
        <v>0</v>
      </c>
      <c r="BY30">
        <v>0</v>
      </c>
      <c r="BZ30">
        <v>0</v>
      </c>
      <c r="CA30" s="1">
        <v>45369</v>
      </c>
      <c r="CB30">
        <f t="shared" si="0"/>
        <v>2050</v>
      </c>
      <c r="CC30">
        <f t="shared" si="1"/>
        <v>67</v>
      </c>
      <c r="CD30">
        <v>1</v>
      </c>
      <c r="CE30" s="1">
        <v>45369</v>
      </c>
      <c r="CF30">
        <f t="shared" si="2"/>
        <v>2050</v>
      </c>
      <c r="CG30">
        <f t="shared" si="3"/>
        <v>67</v>
      </c>
      <c r="CH30" s="1">
        <v>45400</v>
      </c>
      <c r="CI30">
        <f t="shared" si="4"/>
        <v>2081</v>
      </c>
      <c r="CJ30">
        <f t="shared" si="5"/>
        <v>68</v>
      </c>
    </row>
    <row r="31" spans="1:88" x14ac:dyDescent="0.2">
      <c r="A31" t="s">
        <v>2478</v>
      </c>
      <c r="D31" s="1">
        <v>24676</v>
      </c>
      <c r="E31">
        <v>0</v>
      </c>
      <c r="F31">
        <v>0</v>
      </c>
      <c r="G31">
        <f t="shared" si="6"/>
        <v>49</v>
      </c>
      <c r="H31">
        <v>1</v>
      </c>
      <c r="I31">
        <v>22.43</v>
      </c>
      <c r="J31" s="1">
        <v>42859</v>
      </c>
      <c r="K31" s="1">
        <v>42893</v>
      </c>
      <c r="L31">
        <v>33</v>
      </c>
      <c r="M31">
        <v>1.1000000000000001</v>
      </c>
      <c r="N31" t="s">
        <v>2634</v>
      </c>
      <c r="O31">
        <v>0</v>
      </c>
      <c r="P31">
        <v>2</v>
      </c>
      <c r="Q31">
        <v>0</v>
      </c>
      <c r="R31" t="s">
        <v>2688</v>
      </c>
      <c r="S31">
        <v>2</v>
      </c>
      <c r="T31">
        <v>0</v>
      </c>
      <c r="U31">
        <v>0</v>
      </c>
      <c r="W31">
        <v>59</v>
      </c>
      <c r="X31">
        <v>30</v>
      </c>
      <c r="Y31" s="7">
        <f t="shared" si="7"/>
        <v>1.9666666666666666</v>
      </c>
      <c r="Z31">
        <v>0</v>
      </c>
      <c r="AA31">
        <v>455</v>
      </c>
      <c r="AB31">
        <v>1</v>
      </c>
      <c r="AC31">
        <v>3</v>
      </c>
      <c r="AD31">
        <v>2</v>
      </c>
      <c r="AE31" t="s">
        <v>2636</v>
      </c>
      <c r="AF31">
        <v>2</v>
      </c>
      <c r="AG31" t="s">
        <v>2581</v>
      </c>
      <c r="AH31">
        <v>1</v>
      </c>
      <c r="AI31">
        <v>0</v>
      </c>
      <c r="AJ31">
        <v>0</v>
      </c>
      <c r="AK31">
        <v>2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>
        <v>0</v>
      </c>
      <c r="BC31" t="s">
        <v>2647</v>
      </c>
      <c r="BD31" t="s">
        <v>2677</v>
      </c>
      <c r="BE31" t="s">
        <v>2640</v>
      </c>
      <c r="BF31" t="s">
        <v>2641</v>
      </c>
      <c r="BG31">
        <v>4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f t="shared" si="8"/>
        <v>1</v>
      </c>
      <c r="BQ31">
        <v>0</v>
      </c>
      <c r="BR31">
        <v>0</v>
      </c>
      <c r="BV31">
        <v>0</v>
      </c>
      <c r="BW31">
        <v>0</v>
      </c>
      <c r="BY31">
        <v>0</v>
      </c>
      <c r="BZ31">
        <v>1</v>
      </c>
      <c r="CA31" s="1">
        <v>42893</v>
      </c>
      <c r="CB31">
        <f t="shared" si="0"/>
        <v>34</v>
      </c>
      <c r="CC31">
        <f t="shared" si="1"/>
        <v>1</v>
      </c>
      <c r="CD31">
        <v>1</v>
      </c>
      <c r="CE31" s="1">
        <v>42893</v>
      </c>
      <c r="CF31">
        <f t="shared" si="2"/>
        <v>34</v>
      </c>
      <c r="CG31">
        <f t="shared" si="3"/>
        <v>1</v>
      </c>
      <c r="CH31" s="1">
        <v>42927</v>
      </c>
      <c r="CI31">
        <f t="shared" si="4"/>
        <v>68</v>
      </c>
      <c r="CJ31">
        <f t="shared" si="5"/>
        <v>2</v>
      </c>
    </row>
    <row r="32" spans="1:88" x14ac:dyDescent="0.2">
      <c r="A32" t="s">
        <v>2479</v>
      </c>
      <c r="D32" s="1">
        <v>16641</v>
      </c>
      <c r="E32">
        <v>0</v>
      </c>
      <c r="F32">
        <v>0</v>
      </c>
      <c r="G32">
        <f t="shared" si="6"/>
        <v>71</v>
      </c>
      <c r="H32">
        <v>2</v>
      </c>
      <c r="I32">
        <v>58.73</v>
      </c>
      <c r="J32" s="1">
        <v>42906</v>
      </c>
      <c r="K32" s="1">
        <v>42968</v>
      </c>
      <c r="L32">
        <v>61</v>
      </c>
      <c r="M32">
        <v>2.0299999999999998</v>
      </c>
      <c r="N32" t="s">
        <v>2710</v>
      </c>
      <c r="O32">
        <v>0</v>
      </c>
      <c r="P32">
        <v>2</v>
      </c>
      <c r="Q32">
        <v>0</v>
      </c>
      <c r="R32" t="s">
        <v>2659</v>
      </c>
      <c r="S32">
        <v>1</v>
      </c>
      <c r="T32">
        <v>0</v>
      </c>
      <c r="U32">
        <v>0</v>
      </c>
      <c r="W32">
        <v>80</v>
      </c>
      <c r="X32">
        <v>9</v>
      </c>
      <c r="Y32" s="7">
        <f t="shared" si="7"/>
        <v>8.8888888888888893</v>
      </c>
      <c r="Z32">
        <v>1</v>
      </c>
      <c r="AA32">
        <v>223</v>
      </c>
      <c r="AB32">
        <v>0</v>
      </c>
      <c r="AC32">
        <v>3</v>
      </c>
      <c r="AD32">
        <v>2</v>
      </c>
      <c r="AE32">
        <v>0.8</v>
      </c>
      <c r="AF32">
        <v>0</v>
      </c>
      <c r="AG32" t="s">
        <v>2711</v>
      </c>
      <c r="AH32">
        <v>2</v>
      </c>
      <c r="AI32">
        <v>1</v>
      </c>
      <c r="AJ32">
        <v>0</v>
      </c>
      <c r="AK32">
        <v>0</v>
      </c>
      <c r="AL32">
        <v>2</v>
      </c>
      <c r="AM32">
        <v>1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F32" t="s">
        <v>2641</v>
      </c>
      <c r="BG32">
        <v>4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1</v>
      </c>
      <c r="BO32">
        <v>0</v>
      </c>
      <c r="BP32">
        <f t="shared" si="8"/>
        <v>2</v>
      </c>
      <c r="BQ32">
        <v>0</v>
      </c>
      <c r="BR32">
        <v>0</v>
      </c>
      <c r="BV32">
        <v>0</v>
      </c>
      <c r="BW32">
        <v>0</v>
      </c>
      <c r="BY32">
        <v>0</v>
      </c>
      <c r="BZ32">
        <v>1</v>
      </c>
      <c r="CA32" s="1">
        <v>42963</v>
      </c>
      <c r="CB32">
        <f t="shared" si="0"/>
        <v>57</v>
      </c>
      <c r="CC32">
        <f t="shared" si="1"/>
        <v>1</v>
      </c>
      <c r="CD32">
        <v>1</v>
      </c>
      <c r="CE32" s="1">
        <v>43012</v>
      </c>
      <c r="CF32">
        <f t="shared" si="2"/>
        <v>106</v>
      </c>
      <c r="CG32">
        <f t="shared" si="3"/>
        <v>3</v>
      </c>
      <c r="CH32" s="1">
        <v>43255</v>
      </c>
      <c r="CI32">
        <f t="shared" si="4"/>
        <v>349</v>
      </c>
      <c r="CJ32">
        <f t="shared" si="5"/>
        <v>11</v>
      </c>
    </row>
    <row r="33" spans="1:89" x14ac:dyDescent="0.2">
      <c r="A33" t="s">
        <v>2480</v>
      </c>
      <c r="D33" s="1">
        <v>15741</v>
      </c>
      <c r="E33">
        <v>1</v>
      </c>
      <c r="F33">
        <v>1</v>
      </c>
      <c r="G33">
        <f t="shared" si="6"/>
        <v>77</v>
      </c>
      <c r="H33">
        <v>1</v>
      </c>
      <c r="I33">
        <v>28.14</v>
      </c>
      <c r="J33" s="1">
        <v>43867</v>
      </c>
      <c r="K33" s="1">
        <v>44777</v>
      </c>
      <c r="L33">
        <v>898</v>
      </c>
      <c r="M33">
        <v>29.93</v>
      </c>
      <c r="N33" t="s">
        <v>2634</v>
      </c>
      <c r="O33">
        <v>0</v>
      </c>
      <c r="P33">
        <v>2</v>
      </c>
      <c r="Q33">
        <v>2</v>
      </c>
      <c r="R33" t="s">
        <v>2635</v>
      </c>
      <c r="S33">
        <v>1</v>
      </c>
      <c r="T33">
        <v>1</v>
      </c>
      <c r="U33">
        <v>60</v>
      </c>
      <c r="W33">
        <v>63</v>
      </c>
      <c r="X33">
        <v>25</v>
      </c>
      <c r="Y33" s="7">
        <f t="shared" si="7"/>
        <v>2.52</v>
      </c>
      <c r="Z33">
        <v>0</v>
      </c>
      <c r="AA33">
        <v>168</v>
      </c>
      <c r="AB33">
        <v>0</v>
      </c>
      <c r="AC33">
        <v>3</v>
      </c>
      <c r="AD33">
        <v>2</v>
      </c>
      <c r="AE33" t="s">
        <v>2636</v>
      </c>
      <c r="AF33">
        <v>2</v>
      </c>
      <c r="AG33" t="s">
        <v>2712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 t="s">
        <v>2705</v>
      </c>
      <c r="BD33" t="s">
        <v>2713</v>
      </c>
      <c r="BE33" t="s">
        <v>2673</v>
      </c>
      <c r="BF33" t="s">
        <v>2641</v>
      </c>
      <c r="BG33">
        <v>4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f t="shared" si="8"/>
        <v>0</v>
      </c>
      <c r="BQ33">
        <v>0</v>
      </c>
      <c r="BR33">
        <v>0</v>
      </c>
      <c r="BV33">
        <v>0</v>
      </c>
      <c r="BW33">
        <v>0</v>
      </c>
      <c r="BY33">
        <v>1</v>
      </c>
      <c r="BZ33">
        <v>1</v>
      </c>
      <c r="CA33" s="1">
        <v>44749</v>
      </c>
      <c r="CB33">
        <f t="shared" si="0"/>
        <v>882</v>
      </c>
      <c r="CC33">
        <f t="shared" si="1"/>
        <v>29</v>
      </c>
      <c r="CD33">
        <v>1</v>
      </c>
      <c r="CE33" s="1">
        <v>44777</v>
      </c>
      <c r="CF33">
        <f t="shared" si="2"/>
        <v>910</v>
      </c>
      <c r="CG33">
        <f t="shared" si="3"/>
        <v>29</v>
      </c>
      <c r="CH33" s="1">
        <v>44777</v>
      </c>
      <c r="CI33">
        <f t="shared" si="4"/>
        <v>910</v>
      </c>
      <c r="CJ33">
        <f t="shared" si="5"/>
        <v>29</v>
      </c>
    </row>
    <row r="34" spans="1:89" x14ac:dyDescent="0.2">
      <c r="A34" t="s">
        <v>2481</v>
      </c>
      <c r="D34" s="1">
        <v>16031</v>
      </c>
      <c r="E34">
        <v>1</v>
      </c>
      <c r="F34">
        <v>1</v>
      </c>
      <c r="G34">
        <f t="shared" si="6"/>
        <v>75</v>
      </c>
      <c r="H34">
        <v>1</v>
      </c>
      <c r="I34">
        <v>31.89</v>
      </c>
      <c r="J34" s="1">
        <v>43699</v>
      </c>
      <c r="K34" s="1">
        <v>44012</v>
      </c>
      <c r="L34">
        <v>308</v>
      </c>
      <c r="M34">
        <v>10.27</v>
      </c>
      <c r="N34" t="s">
        <v>2652</v>
      </c>
      <c r="O34">
        <v>1</v>
      </c>
      <c r="P34">
        <v>2</v>
      </c>
      <c r="Q34">
        <v>0</v>
      </c>
      <c r="R34" t="s">
        <v>2688</v>
      </c>
      <c r="S34">
        <v>2</v>
      </c>
      <c r="T34">
        <v>0</v>
      </c>
      <c r="U34" t="s">
        <v>2693</v>
      </c>
      <c r="V34" t="s">
        <v>2693</v>
      </c>
      <c r="W34">
        <v>63</v>
      </c>
      <c r="X34">
        <v>26</v>
      </c>
      <c r="Y34" s="7">
        <f t="shared" si="7"/>
        <v>2.4230769230769229</v>
      </c>
      <c r="Z34">
        <v>0</v>
      </c>
      <c r="AA34">
        <v>323</v>
      </c>
      <c r="AB34">
        <v>0</v>
      </c>
      <c r="AC34">
        <v>3</v>
      </c>
      <c r="AD34">
        <v>0</v>
      </c>
      <c r="AE34">
        <v>8.4</v>
      </c>
      <c r="AF34">
        <v>1</v>
      </c>
      <c r="AG34" t="s">
        <v>2714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2</v>
      </c>
      <c r="BC34" t="s">
        <v>2715</v>
      </c>
      <c r="BD34" t="s">
        <v>2716</v>
      </c>
      <c r="BE34" t="s">
        <v>2698</v>
      </c>
      <c r="BF34" t="s">
        <v>2717</v>
      </c>
      <c r="BG34">
        <v>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f t="shared" si="8"/>
        <v>0</v>
      </c>
      <c r="BQ34">
        <v>0</v>
      </c>
      <c r="BR34">
        <v>0</v>
      </c>
      <c r="BV34">
        <v>0</v>
      </c>
      <c r="BW34">
        <v>0</v>
      </c>
      <c r="BY34">
        <v>0</v>
      </c>
      <c r="BZ34">
        <v>1</v>
      </c>
      <c r="CA34" s="1">
        <v>44002</v>
      </c>
      <c r="CB34">
        <f t="shared" si="0"/>
        <v>303</v>
      </c>
      <c r="CC34">
        <f t="shared" si="1"/>
        <v>9</v>
      </c>
      <c r="CD34">
        <v>0</v>
      </c>
      <c r="CE34" s="1">
        <v>44484</v>
      </c>
      <c r="CF34">
        <f t="shared" si="2"/>
        <v>785</v>
      </c>
      <c r="CG34">
        <f t="shared" si="3"/>
        <v>25</v>
      </c>
      <c r="CH34" s="1">
        <v>44485</v>
      </c>
      <c r="CI34">
        <f t="shared" si="4"/>
        <v>786</v>
      </c>
      <c r="CJ34">
        <f t="shared" si="5"/>
        <v>25</v>
      </c>
    </row>
    <row r="35" spans="1:89" x14ac:dyDescent="0.2">
      <c r="A35" t="s">
        <v>2482</v>
      </c>
      <c r="D35" s="1">
        <v>23914</v>
      </c>
      <c r="E35">
        <v>1</v>
      </c>
      <c r="F35">
        <v>1</v>
      </c>
      <c r="G35">
        <f t="shared" si="6"/>
        <v>50</v>
      </c>
      <c r="H35">
        <v>1</v>
      </c>
      <c r="I35">
        <v>37.229999999999997</v>
      </c>
      <c r="J35" s="1">
        <v>42222</v>
      </c>
      <c r="K35" s="1">
        <v>42272</v>
      </c>
      <c r="L35">
        <v>49</v>
      </c>
      <c r="M35">
        <v>1.63</v>
      </c>
      <c r="N35" t="s">
        <v>2699</v>
      </c>
      <c r="O35">
        <v>0</v>
      </c>
      <c r="P35">
        <v>1</v>
      </c>
      <c r="Q35">
        <v>0</v>
      </c>
      <c r="R35" t="s">
        <v>2659</v>
      </c>
      <c r="S35">
        <v>1</v>
      </c>
      <c r="T35">
        <v>2</v>
      </c>
      <c r="U35" t="s">
        <v>2636</v>
      </c>
      <c r="W35">
        <v>66</v>
      </c>
      <c r="X35">
        <v>18</v>
      </c>
      <c r="Y35" s="7">
        <f t="shared" si="7"/>
        <v>3.6666666666666665</v>
      </c>
      <c r="Z35">
        <v>0</v>
      </c>
      <c r="AA35">
        <v>199</v>
      </c>
      <c r="AB35">
        <v>0</v>
      </c>
      <c r="AC35">
        <v>3</v>
      </c>
      <c r="AD35">
        <v>2</v>
      </c>
      <c r="AE35" t="s">
        <v>2636</v>
      </c>
      <c r="AF35">
        <v>2</v>
      </c>
      <c r="AG35" t="s">
        <v>2718</v>
      </c>
      <c r="AH35">
        <v>1</v>
      </c>
      <c r="AI35">
        <v>0</v>
      </c>
      <c r="AJ35">
        <v>1</v>
      </c>
      <c r="AK35">
        <v>0</v>
      </c>
      <c r="AL35">
        <v>2</v>
      </c>
      <c r="AM35">
        <v>1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1</v>
      </c>
      <c r="BF35" t="s">
        <v>2641</v>
      </c>
      <c r="BG35">
        <v>4</v>
      </c>
      <c r="BH35">
        <v>1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1</v>
      </c>
      <c r="BO35">
        <v>0</v>
      </c>
      <c r="BP35">
        <f t="shared" si="8"/>
        <v>5</v>
      </c>
      <c r="BQ35">
        <v>0</v>
      </c>
      <c r="BR35">
        <v>0</v>
      </c>
      <c r="BV35">
        <v>0</v>
      </c>
      <c r="BW35">
        <v>0</v>
      </c>
      <c r="BY35">
        <v>0</v>
      </c>
      <c r="BZ35">
        <v>1</v>
      </c>
      <c r="CA35" s="1">
        <v>42277</v>
      </c>
      <c r="CB35">
        <f t="shared" si="0"/>
        <v>55</v>
      </c>
      <c r="CC35">
        <f t="shared" si="1"/>
        <v>1</v>
      </c>
      <c r="CD35">
        <v>1</v>
      </c>
      <c r="CE35" s="1">
        <v>42313</v>
      </c>
      <c r="CF35">
        <f t="shared" si="2"/>
        <v>91</v>
      </c>
      <c r="CG35">
        <f t="shared" si="3"/>
        <v>2</v>
      </c>
      <c r="CH35" s="1">
        <v>42319</v>
      </c>
      <c r="CI35">
        <f t="shared" si="4"/>
        <v>97</v>
      </c>
      <c r="CJ35">
        <f t="shared" si="5"/>
        <v>3</v>
      </c>
    </row>
    <row r="36" spans="1:89" x14ac:dyDescent="0.2">
      <c r="A36" t="s">
        <v>2483</v>
      </c>
      <c r="D36" s="1">
        <v>18719</v>
      </c>
      <c r="E36">
        <v>1</v>
      </c>
      <c r="F36">
        <v>1</v>
      </c>
      <c r="G36">
        <f t="shared" si="6"/>
        <v>64</v>
      </c>
      <c r="H36">
        <v>1</v>
      </c>
      <c r="I36">
        <v>23.42</v>
      </c>
      <c r="J36" s="1">
        <v>42304</v>
      </c>
      <c r="K36" s="1">
        <v>42321</v>
      </c>
      <c r="L36">
        <v>16</v>
      </c>
      <c r="M36">
        <v>0.53</v>
      </c>
      <c r="N36" t="s">
        <v>2699</v>
      </c>
      <c r="O36">
        <v>0</v>
      </c>
      <c r="P36">
        <v>1</v>
      </c>
      <c r="Q36">
        <v>0</v>
      </c>
      <c r="R36" t="s">
        <v>2659</v>
      </c>
      <c r="S36">
        <v>1</v>
      </c>
      <c r="T36">
        <v>2</v>
      </c>
      <c r="U36" t="s">
        <v>2636</v>
      </c>
      <c r="W36">
        <v>83</v>
      </c>
      <c r="X36">
        <v>6.5</v>
      </c>
      <c r="Y36" s="7">
        <f t="shared" si="7"/>
        <v>12.76923076923077</v>
      </c>
      <c r="Z36">
        <v>1</v>
      </c>
      <c r="AA36">
        <v>439</v>
      </c>
      <c r="AB36">
        <v>1</v>
      </c>
      <c r="AC36">
        <v>3</v>
      </c>
      <c r="AD36">
        <v>2</v>
      </c>
      <c r="AE36" t="s">
        <v>2636</v>
      </c>
      <c r="AF36">
        <v>2</v>
      </c>
      <c r="AG36" t="s">
        <v>2582</v>
      </c>
      <c r="AH36">
        <v>0</v>
      </c>
      <c r="AI36">
        <v>1</v>
      </c>
      <c r="AJ36">
        <v>0</v>
      </c>
      <c r="AK36">
        <v>0</v>
      </c>
      <c r="AL36">
        <v>2</v>
      </c>
      <c r="AM36">
        <v>0</v>
      </c>
      <c r="AN36">
        <v>0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0</v>
      </c>
      <c r="BC36" t="s">
        <v>2719</v>
      </c>
      <c r="BD36" t="s">
        <v>2695</v>
      </c>
      <c r="BE36" t="s">
        <v>2640</v>
      </c>
      <c r="BF36" t="s">
        <v>2641</v>
      </c>
      <c r="BG36">
        <v>4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  <c r="BN36">
        <v>1</v>
      </c>
      <c r="BO36">
        <v>0</v>
      </c>
      <c r="BP36">
        <f t="shared" si="8"/>
        <v>5</v>
      </c>
      <c r="BQ36">
        <v>0</v>
      </c>
      <c r="BR36">
        <v>0</v>
      </c>
      <c r="BV36">
        <v>0</v>
      </c>
      <c r="BW36">
        <v>0</v>
      </c>
      <c r="BY36">
        <v>0</v>
      </c>
      <c r="BZ36">
        <v>1</v>
      </c>
      <c r="CA36" s="1">
        <v>42320</v>
      </c>
      <c r="CB36">
        <f t="shared" si="0"/>
        <v>16</v>
      </c>
      <c r="CC36">
        <f t="shared" si="1"/>
        <v>0</v>
      </c>
      <c r="CD36">
        <v>1</v>
      </c>
      <c r="CE36" s="1">
        <v>42327</v>
      </c>
      <c r="CF36">
        <f t="shared" si="2"/>
        <v>23</v>
      </c>
      <c r="CG36">
        <f t="shared" si="3"/>
        <v>0</v>
      </c>
      <c r="CH36" s="1">
        <v>42332</v>
      </c>
      <c r="CI36">
        <f t="shared" si="4"/>
        <v>28</v>
      </c>
      <c r="CJ36">
        <f t="shared" si="5"/>
        <v>0</v>
      </c>
    </row>
    <row r="37" spans="1:89" x14ac:dyDescent="0.2">
      <c r="A37" t="s">
        <v>2484</v>
      </c>
      <c r="D37" s="1">
        <v>20254</v>
      </c>
      <c r="E37">
        <v>1</v>
      </c>
      <c r="F37">
        <v>1</v>
      </c>
      <c r="G37">
        <f>DATEDIF(D37,J37,"y")</f>
        <v>60</v>
      </c>
      <c r="H37">
        <v>1</v>
      </c>
      <c r="I37">
        <v>23.4</v>
      </c>
      <c r="J37" s="1">
        <v>42416</v>
      </c>
      <c r="K37" s="1">
        <v>44610</v>
      </c>
      <c r="L37">
        <v>2162</v>
      </c>
      <c r="M37">
        <v>72.069999999999993</v>
      </c>
      <c r="N37" t="s">
        <v>2699</v>
      </c>
      <c r="O37">
        <v>0</v>
      </c>
      <c r="P37">
        <v>2</v>
      </c>
      <c r="Q37">
        <v>2</v>
      </c>
      <c r="R37" t="s">
        <v>2635</v>
      </c>
      <c r="S37">
        <v>1</v>
      </c>
      <c r="T37">
        <v>2</v>
      </c>
      <c r="U37" t="s">
        <v>2636</v>
      </c>
      <c r="W37">
        <v>66</v>
      </c>
      <c r="X37">
        <v>23</v>
      </c>
      <c r="Y37" s="7">
        <f t="shared" si="7"/>
        <v>2.8695652173913042</v>
      </c>
      <c r="Z37">
        <v>0</v>
      </c>
      <c r="AA37">
        <v>262</v>
      </c>
      <c r="AB37">
        <v>0</v>
      </c>
      <c r="AC37">
        <v>3</v>
      </c>
      <c r="AD37">
        <v>0</v>
      </c>
      <c r="AE37" t="s">
        <v>2636</v>
      </c>
      <c r="AF37">
        <v>2</v>
      </c>
      <c r="AG37" t="s">
        <v>2720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0</v>
      </c>
      <c r="AN37">
        <v>0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2</v>
      </c>
      <c r="BC37" t="s">
        <v>2650</v>
      </c>
      <c r="BD37" t="s">
        <v>2677</v>
      </c>
      <c r="BE37" t="s">
        <v>2640</v>
      </c>
      <c r="BF37" t="s">
        <v>2641</v>
      </c>
      <c r="BG37">
        <v>4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f t="shared" si="8"/>
        <v>1</v>
      </c>
      <c r="BQ37">
        <v>0</v>
      </c>
      <c r="BR37">
        <v>0</v>
      </c>
      <c r="BV37">
        <v>0</v>
      </c>
      <c r="BW37">
        <v>0</v>
      </c>
      <c r="BY37">
        <v>0</v>
      </c>
      <c r="BZ37">
        <v>1</v>
      </c>
      <c r="CA37" s="1">
        <v>44588</v>
      </c>
      <c r="CB37">
        <f t="shared" si="0"/>
        <v>2172</v>
      </c>
      <c r="CC37">
        <f t="shared" si="1"/>
        <v>71</v>
      </c>
      <c r="CD37">
        <v>1</v>
      </c>
      <c r="CE37" s="1">
        <v>44610</v>
      </c>
      <c r="CF37">
        <f t="shared" si="2"/>
        <v>2194</v>
      </c>
      <c r="CG37">
        <f t="shared" si="3"/>
        <v>72</v>
      </c>
      <c r="CH37" s="1">
        <v>44633</v>
      </c>
      <c r="CI37">
        <f t="shared" si="4"/>
        <v>2217</v>
      </c>
      <c r="CJ37">
        <f t="shared" si="5"/>
        <v>72</v>
      </c>
    </row>
    <row r="38" spans="1:89" x14ac:dyDescent="0.2">
      <c r="A38" t="s">
        <v>2485</v>
      </c>
      <c r="D38" s="1">
        <v>17117</v>
      </c>
      <c r="E38">
        <v>0</v>
      </c>
      <c r="F38">
        <v>0</v>
      </c>
      <c r="G38">
        <f t="shared" si="6"/>
        <v>68</v>
      </c>
      <c r="H38">
        <v>1</v>
      </c>
      <c r="I38">
        <v>26.49</v>
      </c>
      <c r="J38" s="1">
        <v>42185</v>
      </c>
      <c r="K38" s="1">
        <v>42380</v>
      </c>
      <c r="L38">
        <v>191</v>
      </c>
      <c r="M38">
        <v>6.37</v>
      </c>
      <c r="N38" t="s">
        <v>2699</v>
      </c>
      <c r="O38">
        <v>0</v>
      </c>
      <c r="P38">
        <v>2</v>
      </c>
      <c r="Q38">
        <v>0</v>
      </c>
      <c r="R38" t="s">
        <v>2686</v>
      </c>
      <c r="S38">
        <v>4</v>
      </c>
      <c r="T38">
        <v>2</v>
      </c>
      <c r="U38" t="s">
        <v>2636</v>
      </c>
      <c r="W38">
        <v>69</v>
      </c>
      <c r="X38">
        <v>18</v>
      </c>
      <c r="Y38" s="7">
        <f t="shared" si="7"/>
        <v>3.8333333333333335</v>
      </c>
      <c r="Z38">
        <v>0</v>
      </c>
      <c r="AA38">
        <v>90</v>
      </c>
      <c r="AB38">
        <v>0</v>
      </c>
      <c r="AC38">
        <v>3</v>
      </c>
      <c r="AD38">
        <v>2</v>
      </c>
      <c r="AE38" t="s">
        <v>2636</v>
      </c>
      <c r="AF38">
        <v>2</v>
      </c>
      <c r="AG38" t="s">
        <v>2721</v>
      </c>
      <c r="AH38">
        <v>1</v>
      </c>
      <c r="AI38">
        <v>2</v>
      </c>
      <c r="AJ38">
        <v>2</v>
      </c>
      <c r="AK38">
        <v>0</v>
      </c>
      <c r="AL38">
        <v>2</v>
      </c>
      <c r="AM38">
        <v>0</v>
      </c>
      <c r="AN38">
        <v>0</v>
      </c>
      <c r="AO38">
        <v>2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2</v>
      </c>
      <c r="AX38">
        <v>0</v>
      </c>
      <c r="AY38">
        <v>0</v>
      </c>
      <c r="AZ38">
        <v>0</v>
      </c>
      <c r="BA38">
        <v>0</v>
      </c>
      <c r="BB38">
        <v>1</v>
      </c>
      <c r="BF38" t="s">
        <v>2641</v>
      </c>
      <c r="BG38">
        <v>4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1</v>
      </c>
      <c r="BP38">
        <f t="shared" si="8"/>
        <v>7</v>
      </c>
      <c r="BQ38">
        <v>0</v>
      </c>
      <c r="BR38">
        <v>0</v>
      </c>
      <c r="BV38">
        <v>0</v>
      </c>
      <c r="BW38">
        <v>0</v>
      </c>
      <c r="BY38">
        <v>0</v>
      </c>
      <c r="BZ38">
        <v>1</v>
      </c>
      <c r="CA38" s="1">
        <v>42353</v>
      </c>
      <c r="CB38">
        <f t="shared" si="0"/>
        <v>168</v>
      </c>
      <c r="CC38">
        <f t="shared" si="1"/>
        <v>5</v>
      </c>
      <c r="CD38">
        <v>1</v>
      </c>
      <c r="CE38" s="1">
        <v>42380</v>
      </c>
      <c r="CF38">
        <f t="shared" si="2"/>
        <v>195</v>
      </c>
      <c r="CG38">
        <f t="shared" si="3"/>
        <v>6</v>
      </c>
      <c r="CH38" s="1">
        <v>42518</v>
      </c>
      <c r="CI38">
        <f t="shared" si="4"/>
        <v>333</v>
      </c>
      <c r="CJ38">
        <f t="shared" si="5"/>
        <v>10</v>
      </c>
    </row>
    <row r="39" spans="1:89" x14ac:dyDescent="0.2">
      <c r="A39" t="s">
        <v>2486</v>
      </c>
      <c r="D39" s="1">
        <v>13915</v>
      </c>
      <c r="E39">
        <v>1</v>
      </c>
      <c r="F39">
        <v>1</v>
      </c>
      <c r="G39">
        <f t="shared" si="6"/>
        <v>80</v>
      </c>
      <c r="H39">
        <v>2</v>
      </c>
      <c r="I39">
        <v>22.42</v>
      </c>
      <c r="J39" s="1">
        <v>43187</v>
      </c>
      <c r="K39" s="1">
        <v>43385</v>
      </c>
      <c r="L39">
        <v>194</v>
      </c>
      <c r="M39">
        <v>6.47</v>
      </c>
      <c r="N39" t="s">
        <v>2710</v>
      </c>
      <c r="O39">
        <v>0</v>
      </c>
      <c r="P39">
        <v>2</v>
      </c>
      <c r="Q39">
        <v>0</v>
      </c>
      <c r="R39" t="s">
        <v>2722</v>
      </c>
      <c r="S39">
        <v>1</v>
      </c>
      <c r="T39">
        <v>1</v>
      </c>
      <c r="U39">
        <v>1</v>
      </c>
      <c r="W39">
        <v>74</v>
      </c>
      <c r="X39">
        <v>16</v>
      </c>
      <c r="Y39" s="7">
        <f t="shared" si="7"/>
        <v>4.625</v>
      </c>
      <c r="Z39">
        <v>1</v>
      </c>
      <c r="AA39">
        <v>190</v>
      </c>
      <c r="AB39">
        <v>0</v>
      </c>
      <c r="AC39">
        <v>3</v>
      </c>
      <c r="AD39">
        <v>2</v>
      </c>
      <c r="AE39" t="s">
        <v>2636</v>
      </c>
      <c r="AF39">
        <v>2</v>
      </c>
      <c r="AG39" t="s">
        <v>2723</v>
      </c>
      <c r="AH39">
        <v>2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0</v>
      </c>
      <c r="AO39">
        <v>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2</v>
      </c>
      <c r="BF39" t="s">
        <v>2641</v>
      </c>
      <c r="BG39">
        <v>4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f t="shared" si="8"/>
        <v>1</v>
      </c>
      <c r="BQ39">
        <v>0</v>
      </c>
      <c r="BR39">
        <v>0</v>
      </c>
      <c r="BV39">
        <v>0</v>
      </c>
      <c r="BW39">
        <v>0</v>
      </c>
      <c r="BY39">
        <v>0</v>
      </c>
      <c r="BZ39">
        <v>1</v>
      </c>
      <c r="CA39" s="1">
        <v>43371</v>
      </c>
      <c r="CB39">
        <f t="shared" si="0"/>
        <v>184</v>
      </c>
      <c r="CC39">
        <f t="shared" si="1"/>
        <v>6</v>
      </c>
      <c r="CD39">
        <v>0</v>
      </c>
      <c r="CE39" s="1">
        <v>44279</v>
      </c>
      <c r="CF39">
        <f t="shared" si="2"/>
        <v>1092</v>
      </c>
      <c r="CG39">
        <f t="shared" si="3"/>
        <v>35</v>
      </c>
      <c r="CH39" s="1">
        <v>44279</v>
      </c>
      <c r="CI39">
        <f t="shared" si="4"/>
        <v>1092</v>
      </c>
      <c r="CJ39">
        <f t="shared" si="5"/>
        <v>35</v>
      </c>
    </row>
    <row r="40" spans="1:89" x14ac:dyDescent="0.2">
      <c r="A40" t="s">
        <v>2487</v>
      </c>
      <c r="D40" s="1">
        <v>22991</v>
      </c>
      <c r="E40">
        <v>1</v>
      </c>
      <c r="F40">
        <v>1</v>
      </c>
      <c r="G40">
        <f t="shared" si="6"/>
        <v>52</v>
      </c>
      <c r="H40">
        <v>2</v>
      </c>
      <c r="I40">
        <v>30.78</v>
      </c>
      <c r="J40" s="1">
        <v>42208</v>
      </c>
      <c r="K40" s="1">
        <v>43964</v>
      </c>
      <c r="L40">
        <v>1730</v>
      </c>
      <c r="M40">
        <v>57.67</v>
      </c>
      <c r="N40" t="s">
        <v>2699</v>
      </c>
      <c r="O40">
        <v>0</v>
      </c>
      <c r="P40">
        <v>2</v>
      </c>
      <c r="Q40">
        <v>0</v>
      </c>
      <c r="R40" t="s">
        <v>2659</v>
      </c>
      <c r="S40">
        <v>1</v>
      </c>
      <c r="T40">
        <v>1</v>
      </c>
      <c r="U40">
        <v>20</v>
      </c>
      <c r="W40">
        <v>29</v>
      </c>
      <c r="X40">
        <v>50</v>
      </c>
      <c r="Y40" s="7">
        <f t="shared" si="7"/>
        <v>0.57999999999999996</v>
      </c>
      <c r="Z40">
        <v>0</v>
      </c>
      <c r="AA40">
        <v>333</v>
      </c>
      <c r="AB40">
        <v>0</v>
      </c>
      <c r="AC40">
        <v>3</v>
      </c>
      <c r="AD40">
        <v>2</v>
      </c>
      <c r="AE40" t="s">
        <v>2636</v>
      </c>
      <c r="AF40">
        <v>2</v>
      </c>
      <c r="AG40" t="s">
        <v>2724</v>
      </c>
      <c r="AH40">
        <v>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 t="s">
        <v>2647</v>
      </c>
      <c r="BD40" t="s">
        <v>2639</v>
      </c>
      <c r="BE40" t="s">
        <v>2696</v>
      </c>
      <c r="BF40" t="s">
        <v>2641</v>
      </c>
      <c r="BG40">
        <v>4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f t="shared" si="8"/>
        <v>2</v>
      </c>
      <c r="BQ40">
        <v>0</v>
      </c>
      <c r="BR40">
        <v>0</v>
      </c>
      <c r="BV40">
        <v>0</v>
      </c>
      <c r="BW40">
        <v>0</v>
      </c>
      <c r="BY40">
        <v>0</v>
      </c>
      <c r="BZ40">
        <v>1</v>
      </c>
      <c r="CA40" s="1">
        <v>44036</v>
      </c>
      <c r="CB40">
        <f t="shared" si="0"/>
        <v>1828</v>
      </c>
      <c r="CC40">
        <f t="shared" si="1"/>
        <v>60</v>
      </c>
      <c r="CD40">
        <v>1</v>
      </c>
      <c r="CE40" s="1">
        <v>44931</v>
      </c>
      <c r="CF40">
        <f t="shared" si="2"/>
        <v>2723</v>
      </c>
      <c r="CG40">
        <f t="shared" si="3"/>
        <v>89</v>
      </c>
      <c r="CH40" s="1">
        <v>44956</v>
      </c>
      <c r="CI40">
        <f t="shared" si="4"/>
        <v>2748</v>
      </c>
      <c r="CJ40">
        <f t="shared" si="5"/>
        <v>90</v>
      </c>
    </row>
    <row r="41" spans="1:89" x14ac:dyDescent="0.2">
      <c r="A41" t="s">
        <v>2488</v>
      </c>
      <c r="D41" s="1">
        <v>18657</v>
      </c>
      <c r="E41">
        <v>1</v>
      </c>
      <c r="F41">
        <v>1</v>
      </c>
      <c r="G41">
        <f t="shared" si="6"/>
        <v>64</v>
      </c>
      <c r="H41">
        <v>2</v>
      </c>
      <c r="I41">
        <v>27.33</v>
      </c>
      <c r="J41" s="1">
        <v>42243</v>
      </c>
      <c r="K41" s="1">
        <v>42309</v>
      </c>
      <c r="L41">
        <v>64</v>
      </c>
      <c r="M41">
        <v>2.13</v>
      </c>
      <c r="N41" t="s">
        <v>2652</v>
      </c>
      <c r="O41">
        <v>1</v>
      </c>
      <c r="P41">
        <v>2</v>
      </c>
      <c r="Q41">
        <v>0</v>
      </c>
      <c r="R41" t="s">
        <v>2659</v>
      </c>
      <c r="S41">
        <v>1</v>
      </c>
      <c r="T41">
        <v>2</v>
      </c>
      <c r="U41" t="s">
        <v>2636</v>
      </c>
      <c r="W41">
        <v>84</v>
      </c>
      <c r="X41">
        <v>4</v>
      </c>
      <c r="Y41" s="7">
        <f t="shared" si="7"/>
        <v>21</v>
      </c>
      <c r="Z41">
        <v>1</v>
      </c>
      <c r="AA41">
        <v>353</v>
      </c>
      <c r="AB41">
        <v>0</v>
      </c>
      <c r="AC41">
        <v>2</v>
      </c>
      <c r="AD41">
        <v>2</v>
      </c>
      <c r="AE41" t="s">
        <v>2636</v>
      </c>
      <c r="AF41">
        <v>2</v>
      </c>
      <c r="AG41" t="s">
        <v>2582</v>
      </c>
      <c r="AH41">
        <v>2</v>
      </c>
      <c r="AI41">
        <v>1</v>
      </c>
      <c r="AJ41">
        <v>0</v>
      </c>
      <c r="AK41">
        <v>2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0</v>
      </c>
      <c r="BF41" t="s">
        <v>2641</v>
      </c>
      <c r="BG41">
        <v>4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0</v>
      </c>
      <c r="BN41">
        <v>1</v>
      </c>
      <c r="BO41">
        <v>0</v>
      </c>
      <c r="BP41">
        <f t="shared" si="8"/>
        <v>3</v>
      </c>
      <c r="BQ41">
        <v>0</v>
      </c>
      <c r="BR41">
        <v>0</v>
      </c>
      <c r="BV41">
        <v>0</v>
      </c>
      <c r="BW41">
        <v>0</v>
      </c>
      <c r="BY41">
        <v>0</v>
      </c>
      <c r="BZ41">
        <v>1</v>
      </c>
      <c r="CA41" s="1">
        <v>42292</v>
      </c>
      <c r="CB41">
        <f t="shared" si="0"/>
        <v>49</v>
      </c>
      <c r="CC41">
        <f t="shared" si="1"/>
        <v>1</v>
      </c>
      <c r="CD41">
        <v>1</v>
      </c>
      <c r="CE41" s="1">
        <v>42435</v>
      </c>
      <c r="CF41">
        <f t="shared" si="2"/>
        <v>192</v>
      </c>
      <c r="CG41">
        <f t="shared" si="3"/>
        <v>6</v>
      </c>
      <c r="CH41" s="1">
        <v>42435</v>
      </c>
      <c r="CI41">
        <f t="shared" si="4"/>
        <v>192</v>
      </c>
      <c r="CJ41">
        <f t="shared" si="5"/>
        <v>6</v>
      </c>
    </row>
    <row r="42" spans="1:89" x14ac:dyDescent="0.2">
      <c r="A42" t="s">
        <v>2489</v>
      </c>
      <c r="D42" s="1">
        <v>19766</v>
      </c>
      <c r="E42">
        <v>0</v>
      </c>
      <c r="F42">
        <v>1</v>
      </c>
      <c r="G42">
        <f t="shared" si="6"/>
        <v>64</v>
      </c>
      <c r="H42">
        <v>1</v>
      </c>
      <c r="I42">
        <v>18.34</v>
      </c>
      <c r="J42" s="1">
        <v>43395</v>
      </c>
      <c r="K42" s="1">
        <v>43753</v>
      </c>
      <c r="L42">
        <v>353</v>
      </c>
      <c r="M42">
        <v>11.77</v>
      </c>
      <c r="N42" t="s">
        <v>2725</v>
      </c>
      <c r="O42">
        <v>1</v>
      </c>
      <c r="P42">
        <v>2</v>
      </c>
      <c r="Q42">
        <v>0</v>
      </c>
      <c r="R42" t="s">
        <v>2659</v>
      </c>
      <c r="S42">
        <v>1</v>
      </c>
      <c r="T42">
        <v>1</v>
      </c>
      <c r="U42">
        <v>50</v>
      </c>
      <c r="V42">
        <v>0</v>
      </c>
      <c r="W42">
        <v>79</v>
      </c>
      <c r="X42">
        <v>6</v>
      </c>
      <c r="Y42" s="7">
        <f t="shared" si="7"/>
        <v>13.166666666666666</v>
      </c>
      <c r="Z42">
        <v>1</v>
      </c>
      <c r="AA42">
        <v>483</v>
      </c>
      <c r="AB42">
        <v>1</v>
      </c>
      <c r="AC42">
        <v>0</v>
      </c>
      <c r="AD42">
        <v>1</v>
      </c>
      <c r="AE42">
        <v>3.8</v>
      </c>
      <c r="AF42">
        <v>0</v>
      </c>
      <c r="AG42" t="s">
        <v>2726</v>
      </c>
      <c r="AH42">
        <v>1</v>
      </c>
      <c r="AI42">
        <v>0</v>
      </c>
      <c r="AJ42">
        <v>1</v>
      </c>
      <c r="AK42">
        <v>0</v>
      </c>
      <c r="AL42">
        <v>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F42" t="s">
        <v>2641</v>
      </c>
      <c r="BG42">
        <v>4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f t="shared" si="8"/>
        <v>3</v>
      </c>
      <c r="BQ42">
        <v>0</v>
      </c>
      <c r="BR42">
        <v>0</v>
      </c>
      <c r="BV42">
        <v>0</v>
      </c>
      <c r="BW42">
        <v>0</v>
      </c>
      <c r="BY42">
        <v>0</v>
      </c>
      <c r="BZ42">
        <v>1</v>
      </c>
      <c r="CA42" s="1">
        <v>43763</v>
      </c>
      <c r="CB42">
        <f t="shared" si="0"/>
        <v>368</v>
      </c>
      <c r="CC42">
        <f t="shared" si="1"/>
        <v>12</v>
      </c>
      <c r="CD42">
        <v>1</v>
      </c>
      <c r="CE42" s="1">
        <v>43763</v>
      </c>
      <c r="CF42">
        <f t="shared" si="2"/>
        <v>368</v>
      </c>
      <c r="CG42">
        <f t="shared" si="3"/>
        <v>12</v>
      </c>
      <c r="CH42" s="1">
        <v>43772</v>
      </c>
      <c r="CI42">
        <f t="shared" si="4"/>
        <v>377</v>
      </c>
      <c r="CJ42">
        <f t="shared" si="5"/>
        <v>12</v>
      </c>
    </row>
    <row r="43" spans="1:89" x14ac:dyDescent="0.2">
      <c r="A43" t="s">
        <v>2490</v>
      </c>
      <c r="D43" s="1">
        <v>17554</v>
      </c>
      <c r="E43">
        <v>1</v>
      </c>
      <c r="F43">
        <v>1</v>
      </c>
      <c r="G43">
        <f t="shared" si="6"/>
        <v>68</v>
      </c>
      <c r="H43">
        <v>1</v>
      </c>
      <c r="I43">
        <v>21.98</v>
      </c>
      <c r="J43" s="1">
        <v>42646</v>
      </c>
      <c r="K43" s="1">
        <v>43116</v>
      </c>
      <c r="L43">
        <v>463</v>
      </c>
      <c r="M43">
        <v>15.43</v>
      </c>
      <c r="N43" t="s">
        <v>2699</v>
      </c>
      <c r="O43">
        <v>0</v>
      </c>
      <c r="P43">
        <v>3</v>
      </c>
      <c r="Q43">
        <v>0</v>
      </c>
      <c r="R43" t="s">
        <v>2659</v>
      </c>
      <c r="S43">
        <v>1</v>
      </c>
      <c r="T43">
        <v>0</v>
      </c>
      <c r="U43">
        <v>0</v>
      </c>
      <c r="W43">
        <v>61</v>
      </c>
      <c r="X43">
        <v>26</v>
      </c>
      <c r="Y43" s="7">
        <f t="shared" si="7"/>
        <v>2.3461538461538463</v>
      </c>
      <c r="Z43">
        <v>0</v>
      </c>
      <c r="AA43">
        <v>337</v>
      </c>
      <c r="AB43">
        <v>0</v>
      </c>
      <c r="AC43">
        <v>3</v>
      </c>
      <c r="AD43">
        <v>2</v>
      </c>
      <c r="AE43" t="s">
        <v>2636</v>
      </c>
      <c r="AF43">
        <v>2</v>
      </c>
      <c r="AG43" t="s">
        <v>2708</v>
      </c>
      <c r="AH43">
        <v>2</v>
      </c>
      <c r="AI43">
        <v>0</v>
      </c>
      <c r="AJ43">
        <v>0</v>
      </c>
      <c r="AK43">
        <v>0</v>
      </c>
      <c r="AL43">
        <v>2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1</v>
      </c>
      <c r="BF43" t="s">
        <v>2641</v>
      </c>
      <c r="BG43">
        <v>4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f t="shared" si="8"/>
        <v>2</v>
      </c>
      <c r="BQ43">
        <v>0</v>
      </c>
      <c r="BR43">
        <v>0</v>
      </c>
      <c r="BV43">
        <v>0</v>
      </c>
      <c r="BW43">
        <v>0</v>
      </c>
      <c r="BY43">
        <v>0</v>
      </c>
      <c r="BZ43">
        <v>1</v>
      </c>
      <c r="CA43" s="1">
        <v>43117</v>
      </c>
      <c r="CB43">
        <f t="shared" si="0"/>
        <v>471</v>
      </c>
      <c r="CC43">
        <f t="shared" si="1"/>
        <v>15</v>
      </c>
      <c r="CD43">
        <v>0</v>
      </c>
      <c r="CE43" s="1">
        <v>43158</v>
      </c>
      <c r="CF43">
        <f t="shared" si="2"/>
        <v>512</v>
      </c>
      <c r="CG43">
        <f t="shared" si="3"/>
        <v>16</v>
      </c>
      <c r="CH43" s="1">
        <v>43158</v>
      </c>
      <c r="CI43">
        <f t="shared" si="4"/>
        <v>512</v>
      </c>
      <c r="CJ43">
        <f t="shared" si="5"/>
        <v>16</v>
      </c>
    </row>
    <row r="44" spans="1:89" x14ac:dyDescent="0.2">
      <c r="A44" t="s">
        <v>2491</v>
      </c>
      <c r="D44" s="1">
        <v>15903</v>
      </c>
      <c r="E44">
        <v>0</v>
      </c>
      <c r="F44">
        <v>0</v>
      </c>
      <c r="G44">
        <f t="shared" si="6"/>
        <v>74</v>
      </c>
      <c r="H44">
        <v>1</v>
      </c>
      <c r="I44">
        <v>25.76</v>
      </c>
      <c r="J44" s="1">
        <v>43291</v>
      </c>
      <c r="K44" s="1">
        <v>43354</v>
      </c>
      <c r="L44">
        <v>61</v>
      </c>
      <c r="M44">
        <v>2.0299999999999998</v>
      </c>
      <c r="N44" t="s">
        <v>2725</v>
      </c>
      <c r="O44">
        <v>1</v>
      </c>
      <c r="P44">
        <v>3</v>
      </c>
      <c r="Q44">
        <v>2</v>
      </c>
      <c r="R44" t="s">
        <v>2635</v>
      </c>
      <c r="S44">
        <v>1</v>
      </c>
      <c r="T44">
        <v>2</v>
      </c>
      <c r="U44" t="s">
        <v>2636</v>
      </c>
      <c r="W44">
        <v>42</v>
      </c>
      <c r="X44">
        <v>26</v>
      </c>
      <c r="Y44" s="7">
        <f t="shared" si="7"/>
        <v>1.6153846153846154</v>
      </c>
      <c r="Z44">
        <v>0</v>
      </c>
      <c r="AA44">
        <v>78</v>
      </c>
      <c r="AB44">
        <v>0</v>
      </c>
      <c r="AC44">
        <v>3</v>
      </c>
      <c r="AD44">
        <v>0</v>
      </c>
      <c r="AE44" t="s">
        <v>2636</v>
      </c>
      <c r="AF44">
        <v>2</v>
      </c>
      <c r="AG44" t="s">
        <v>2727</v>
      </c>
      <c r="AH44">
        <v>1</v>
      </c>
      <c r="AI44">
        <v>0</v>
      </c>
      <c r="AJ44">
        <v>1</v>
      </c>
      <c r="AK44">
        <v>0</v>
      </c>
      <c r="AL44">
        <v>2</v>
      </c>
      <c r="AM44">
        <v>0</v>
      </c>
      <c r="AN44">
        <v>0</v>
      </c>
      <c r="AO44">
        <v>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0</v>
      </c>
      <c r="AZ44">
        <v>0</v>
      </c>
      <c r="BA44">
        <v>0</v>
      </c>
      <c r="BB44">
        <v>1</v>
      </c>
      <c r="BC44" t="s">
        <v>2644</v>
      </c>
      <c r="BD44" t="s">
        <v>2639</v>
      </c>
      <c r="BE44" t="s">
        <v>2640</v>
      </c>
      <c r="BF44" t="s">
        <v>2641</v>
      </c>
      <c r="BG44">
        <v>4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f t="shared" si="8"/>
        <v>3</v>
      </c>
      <c r="BQ44">
        <v>1</v>
      </c>
      <c r="BR44">
        <v>2</v>
      </c>
      <c r="BS44" s="1">
        <v>43441</v>
      </c>
      <c r="BT44">
        <f>DATEDIF(J44,BS44,"d")</f>
        <v>150</v>
      </c>
      <c r="BU44">
        <f>DATEDIF(J44,BS44,"m")</f>
        <v>4</v>
      </c>
      <c r="BV44">
        <v>1</v>
      </c>
      <c r="BW44">
        <v>0</v>
      </c>
      <c r="BY44">
        <v>0</v>
      </c>
      <c r="BZ44">
        <v>1</v>
      </c>
      <c r="CA44" s="1">
        <v>43360</v>
      </c>
      <c r="CB44">
        <f t="shared" si="0"/>
        <v>69</v>
      </c>
      <c r="CC44">
        <f t="shared" si="1"/>
        <v>2</v>
      </c>
      <c r="CD44" s="9">
        <v>0</v>
      </c>
      <c r="CE44" s="1">
        <v>43518</v>
      </c>
      <c r="CF44">
        <f t="shared" si="2"/>
        <v>227</v>
      </c>
      <c r="CG44">
        <f t="shared" si="3"/>
        <v>7</v>
      </c>
      <c r="CH44" s="1">
        <v>43518</v>
      </c>
      <c r="CI44">
        <f t="shared" si="4"/>
        <v>227</v>
      </c>
      <c r="CJ44">
        <f t="shared" si="5"/>
        <v>7</v>
      </c>
      <c r="CK44" t="s">
        <v>2728</v>
      </c>
    </row>
    <row r="45" spans="1:89" x14ac:dyDescent="0.2">
      <c r="A45" t="s">
        <v>2492</v>
      </c>
      <c r="D45" s="1">
        <v>17074</v>
      </c>
      <c r="E45">
        <v>1</v>
      </c>
      <c r="F45">
        <v>1</v>
      </c>
      <c r="G45">
        <f t="shared" si="6"/>
        <v>72</v>
      </c>
      <c r="H45">
        <v>2</v>
      </c>
      <c r="I45">
        <v>30.96</v>
      </c>
      <c r="J45" s="1">
        <v>43487</v>
      </c>
      <c r="K45" s="1">
        <v>43845</v>
      </c>
      <c r="L45">
        <v>353</v>
      </c>
      <c r="M45">
        <v>11.77</v>
      </c>
      <c r="N45" t="s">
        <v>2679</v>
      </c>
      <c r="O45">
        <v>1</v>
      </c>
      <c r="P45">
        <v>2</v>
      </c>
      <c r="Q45">
        <v>0</v>
      </c>
      <c r="R45" t="s">
        <v>2659</v>
      </c>
      <c r="S45">
        <v>1</v>
      </c>
      <c r="T45">
        <v>0</v>
      </c>
      <c r="U45" t="s">
        <v>2693</v>
      </c>
      <c r="W45">
        <v>78</v>
      </c>
      <c r="X45">
        <v>11</v>
      </c>
      <c r="Y45" s="7">
        <f t="shared" si="7"/>
        <v>7.0909090909090908</v>
      </c>
      <c r="Z45">
        <v>1</v>
      </c>
      <c r="AA45">
        <v>298</v>
      </c>
      <c r="AB45">
        <v>0</v>
      </c>
      <c r="AC45">
        <v>3</v>
      </c>
      <c r="AD45">
        <v>2</v>
      </c>
      <c r="AE45" t="s">
        <v>2636</v>
      </c>
      <c r="AF45">
        <v>2</v>
      </c>
      <c r="AG45" t="s">
        <v>2729</v>
      </c>
      <c r="AH45">
        <v>2</v>
      </c>
      <c r="AI45">
        <v>1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0</v>
      </c>
      <c r="BC45" t="s">
        <v>2730</v>
      </c>
      <c r="BD45" t="s">
        <v>2695</v>
      </c>
      <c r="BE45" t="s">
        <v>2678</v>
      </c>
      <c r="BF45" t="s">
        <v>2641</v>
      </c>
      <c r="BG45">
        <v>4</v>
      </c>
      <c r="BH45">
        <v>1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1</v>
      </c>
      <c r="BO45">
        <v>0</v>
      </c>
      <c r="BP45">
        <f t="shared" si="8"/>
        <v>4</v>
      </c>
      <c r="BQ45">
        <v>0</v>
      </c>
      <c r="BR45">
        <v>0</v>
      </c>
      <c r="BV45">
        <v>0</v>
      </c>
      <c r="BW45">
        <v>0</v>
      </c>
      <c r="BY45">
        <v>0</v>
      </c>
      <c r="BZ45">
        <v>1</v>
      </c>
      <c r="CA45" s="1">
        <v>43796</v>
      </c>
      <c r="CB45">
        <f t="shared" si="0"/>
        <v>309</v>
      </c>
      <c r="CC45">
        <f t="shared" si="1"/>
        <v>10</v>
      </c>
      <c r="CD45">
        <v>1</v>
      </c>
      <c r="CE45" s="1">
        <v>43914</v>
      </c>
      <c r="CF45">
        <f t="shared" si="2"/>
        <v>427</v>
      </c>
      <c r="CG45">
        <f t="shared" si="3"/>
        <v>14</v>
      </c>
      <c r="CH45" s="1">
        <v>43935</v>
      </c>
      <c r="CI45">
        <f t="shared" si="4"/>
        <v>448</v>
      </c>
      <c r="CJ45">
        <f t="shared" si="5"/>
        <v>14</v>
      </c>
    </row>
    <row r="46" spans="1:89" ht="176" x14ac:dyDescent="0.2">
      <c r="A46" t="s">
        <v>2493</v>
      </c>
      <c r="D46" s="1">
        <v>14492</v>
      </c>
      <c r="E46">
        <v>0</v>
      </c>
      <c r="F46">
        <v>0</v>
      </c>
      <c r="G46">
        <f t="shared" si="6"/>
        <v>76</v>
      </c>
      <c r="H46">
        <v>1</v>
      </c>
      <c r="I46">
        <v>30.06</v>
      </c>
      <c r="J46" s="1">
        <v>42390</v>
      </c>
      <c r="K46" s="1">
        <v>42397</v>
      </c>
      <c r="L46">
        <v>7</v>
      </c>
      <c r="M46">
        <v>0.23</v>
      </c>
      <c r="N46" t="s">
        <v>2731</v>
      </c>
      <c r="O46">
        <v>0</v>
      </c>
      <c r="P46">
        <v>2</v>
      </c>
      <c r="Q46">
        <v>0</v>
      </c>
      <c r="R46" t="s">
        <v>2659</v>
      </c>
      <c r="S46">
        <v>1</v>
      </c>
      <c r="T46">
        <v>1</v>
      </c>
      <c r="U46" s="8" t="s">
        <v>2732</v>
      </c>
      <c r="V46" t="s">
        <v>2733</v>
      </c>
      <c r="W46">
        <v>58</v>
      </c>
      <c r="X46">
        <v>30</v>
      </c>
      <c r="Y46" s="7">
        <f t="shared" si="7"/>
        <v>1.9333333333333333</v>
      </c>
      <c r="Z46">
        <v>0</v>
      </c>
      <c r="AA46">
        <v>504</v>
      </c>
      <c r="AB46">
        <v>1</v>
      </c>
      <c r="AC46">
        <v>3</v>
      </c>
      <c r="AD46">
        <v>2</v>
      </c>
      <c r="AE46" t="s">
        <v>2636</v>
      </c>
      <c r="AF46">
        <v>2</v>
      </c>
      <c r="AG46" s="4" t="s">
        <v>2734</v>
      </c>
      <c r="AH46">
        <v>2</v>
      </c>
      <c r="AI46">
        <v>1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2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1</v>
      </c>
      <c r="BF46" t="s">
        <v>2641</v>
      </c>
      <c r="BG46">
        <v>4</v>
      </c>
      <c r="BH46">
        <v>0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f t="shared" si="8"/>
        <v>3</v>
      </c>
      <c r="BQ46">
        <v>1</v>
      </c>
      <c r="BR46">
        <v>3</v>
      </c>
      <c r="BS46" s="1">
        <v>42432</v>
      </c>
      <c r="BT46">
        <f>DATEDIF(J46,BS46,"d")</f>
        <v>42</v>
      </c>
      <c r="BU46">
        <f>DATEDIF(J46,BS46,"m")</f>
        <v>1</v>
      </c>
      <c r="BV46">
        <v>1</v>
      </c>
      <c r="BW46">
        <v>0</v>
      </c>
      <c r="BY46">
        <v>0</v>
      </c>
      <c r="BZ46">
        <v>1</v>
      </c>
      <c r="CA46" s="1">
        <v>42418</v>
      </c>
      <c r="CB46">
        <f t="shared" si="0"/>
        <v>28</v>
      </c>
      <c r="CC46">
        <f t="shared" si="1"/>
        <v>0</v>
      </c>
      <c r="CD46">
        <v>1</v>
      </c>
      <c r="CE46" s="1">
        <v>42432</v>
      </c>
      <c r="CF46">
        <f t="shared" si="2"/>
        <v>42</v>
      </c>
      <c r="CG46">
        <f t="shared" si="3"/>
        <v>1</v>
      </c>
      <c r="CH46" s="1">
        <v>42511</v>
      </c>
      <c r="CI46">
        <f t="shared" si="4"/>
        <v>121</v>
      </c>
      <c r="CJ46">
        <f t="shared" si="5"/>
        <v>4</v>
      </c>
    </row>
    <row r="47" spans="1:89" x14ac:dyDescent="0.2">
      <c r="A47" t="s">
        <v>2494</v>
      </c>
      <c r="D47" s="1">
        <v>17686</v>
      </c>
      <c r="E47">
        <v>1</v>
      </c>
      <c r="F47">
        <v>0</v>
      </c>
      <c r="G47">
        <f t="shared" si="6"/>
        <v>69</v>
      </c>
      <c r="H47">
        <v>2</v>
      </c>
      <c r="I47">
        <v>22.86</v>
      </c>
      <c r="J47" s="1">
        <v>42972</v>
      </c>
      <c r="K47" s="1">
        <v>43168</v>
      </c>
      <c r="L47">
        <v>194</v>
      </c>
      <c r="M47">
        <v>6.47</v>
      </c>
      <c r="N47" t="s">
        <v>2735</v>
      </c>
      <c r="O47">
        <v>0</v>
      </c>
      <c r="P47">
        <v>2</v>
      </c>
      <c r="Q47">
        <v>0</v>
      </c>
      <c r="R47" t="s">
        <v>2659</v>
      </c>
      <c r="S47">
        <v>1</v>
      </c>
      <c r="T47">
        <v>0</v>
      </c>
      <c r="U47">
        <v>0</v>
      </c>
      <c r="W47">
        <v>73</v>
      </c>
      <c r="X47">
        <v>11</v>
      </c>
      <c r="Y47" s="7">
        <f t="shared" si="7"/>
        <v>6.6363636363636367</v>
      </c>
      <c r="Z47">
        <v>1</v>
      </c>
      <c r="AA47">
        <v>30</v>
      </c>
      <c r="AB47">
        <v>0</v>
      </c>
      <c r="AC47">
        <v>3</v>
      </c>
      <c r="AD47">
        <v>2</v>
      </c>
      <c r="AE47" t="s">
        <v>2636</v>
      </c>
      <c r="AF47">
        <v>2</v>
      </c>
      <c r="AG47" t="s">
        <v>2736</v>
      </c>
      <c r="AH47">
        <v>2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 t="s">
        <v>2719</v>
      </c>
      <c r="BD47" t="s">
        <v>2695</v>
      </c>
      <c r="BE47" t="s">
        <v>2678</v>
      </c>
      <c r="BF47" t="s">
        <v>2641</v>
      </c>
      <c r="BG47">
        <v>4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0</v>
      </c>
      <c r="BO47">
        <v>1</v>
      </c>
      <c r="BP47">
        <f t="shared" si="8"/>
        <v>5</v>
      </c>
      <c r="BQ47">
        <v>0</v>
      </c>
      <c r="BR47">
        <v>0</v>
      </c>
      <c r="BV47">
        <v>0</v>
      </c>
      <c r="BW47">
        <v>0</v>
      </c>
      <c r="BY47">
        <v>0</v>
      </c>
      <c r="BZ47">
        <v>1</v>
      </c>
      <c r="CA47" s="1">
        <v>43122</v>
      </c>
      <c r="CB47">
        <f t="shared" si="0"/>
        <v>150</v>
      </c>
      <c r="CC47">
        <f t="shared" si="1"/>
        <v>4</v>
      </c>
      <c r="CD47">
        <v>1</v>
      </c>
      <c r="CE47" s="1">
        <v>43344</v>
      </c>
      <c r="CF47">
        <f t="shared" si="2"/>
        <v>372</v>
      </c>
      <c r="CG47">
        <f t="shared" si="3"/>
        <v>12</v>
      </c>
      <c r="CH47" s="1">
        <v>43344</v>
      </c>
      <c r="CI47">
        <f t="shared" si="4"/>
        <v>372</v>
      </c>
      <c r="CJ47">
        <f t="shared" si="5"/>
        <v>12</v>
      </c>
    </row>
    <row r="48" spans="1:89" x14ac:dyDescent="0.2">
      <c r="A48" t="s">
        <v>2495</v>
      </c>
      <c r="D48" s="1">
        <v>18588</v>
      </c>
      <c r="E48">
        <v>0</v>
      </c>
      <c r="F48">
        <v>0</v>
      </c>
      <c r="G48">
        <f t="shared" si="6"/>
        <v>64</v>
      </c>
      <c r="H48">
        <v>2</v>
      </c>
      <c r="I48">
        <v>27.28</v>
      </c>
      <c r="J48" s="1">
        <v>42180</v>
      </c>
      <c r="K48" s="1">
        <v>42221</v>
      </c>
      <c r="L48">
        <v>40</v>
      </c>
      <c r="M48">
        <v>1.33</v>
      </c>
      <c r="N48" t="s">
        <v>2699</v>
      </c>
      <c r="O48">
        <v>0</v>
      </c>
      <c r="P48">
        <v>1</v>
      </c>
      <c r="Q48">
        <v>0</v>
      </c>
      <c r="R48" t="s">
        <v>2659</v>
      </c>
      <c r="S48">
        <v>1</v>
      </c>
      <c r="T48">
        <v>2</v>
      </c>
      <c r="U48" t="s">
        <v>2636</v>
      </c>
      <c r="W48">
        <v>76</v>
      </c>
      <c r="X48">
        <v>8</v>
      </c>
      <c r="Y48" s="7">
        <f t="shared" si="7"/>
        <v>9.5</v>
      </c>
      <c r="Z48">
        <v>1</v>
      </c>
      <c r="AA48">
        <v>243</v>
      </c>
      <c r="AB48">
        <v>0</v>
      </c>
      <c r="AC48">
        <v>3</v>
      </c>
      <c r="AD48">
        <v>2</v>
      </c>
      <c r="AE48" t="s">
        <v>2636</v>
      </c>
      <c r="AF48">
        <v>2</v>
      </c>
      <c r="AG48" t="s">
        <v>2737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1</v>
      </c>
      <c r="BF48" t="s">
        <v>2641</v>
      </c>
      <c r="BG48">
        <v>4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f t="shared" si="8"/>
        <v>6</v>
      </c>
      <c r="BQ48">
        <v>0</v>
      </c>
      <c r="BR48">
        <v>0</v>
      </c>
      <c r="BV48">
        <v>0</v>
      </c>
      <c r="BW48">
        <v>0</v>
      </c>
      <c r="BY48">
        <v>0</v>
      </c>
      <c r="BZ48">
        <v>1</v>
      </c>
      <c r="CA48" s="1">
        <v>42221</v>
      </c>
      <c r="CB48">
        <f t="shared" si="0"/>
        <v>41</v>
      </c>
      <c r="CC48">
        <f t="shared" si="1"/>
        <v>1</v>
      </c>
      <c r="CD48">
        <v>1</v>
      </c>
      <c r="CE48" s="1">
        <v>42223</v>
      </c>
      <c r="CF48">
        <f t="shared" si="2"/>
        <v>43</v>
      </c>
      <c r="CG48">
        <f t="shared" si="3"/>
        <v>1</v>
      </c>
      <c r="CH48" s="1">
        <v>42227</v>
      </c>
      <c r="CI48">
        <f t="shared" si="4"/>
        <v>47</v>
      </c>
      <c r="CJ48">
        <f t="shared" si="5"/>
        <v>1</v>
      </c>
    </row>
    <row r="49" spans="1:89" x14ac:dyDescent="0.2">
      <c r="A49" t="s">
        <v>2496</v>
      </c>
      <c r="D49" s="1">
        <v>21634</v>
      </c>
      <c r="E49">
        <v>1</v>
      </c>
      <c r="F49">
        <v>1</v>
      </c>
      <c r="G49">
        <f t="shared" si="6"/>
        <v>57</v>
      </c>
      <c r="H49">
        <v>1</v>
      </c>
      <c r="I49">
        <v>33.630000000000003</v>
      </c>
      <c r="J49" s="1">
        <v>42478</v>
      </c>
      <c r="K49" s="1">
        <v>42587</v>
      </c>
      <c r="L49">
        <v>107</v>
      </c>
      <c r="M49">
        <v>3.57</v>
      </c>
      <c r="N49" t="s">
        <v>2699</v>
      </c>
      <c r="O49">
        <v>0</v>
      </c>
      <c r="P49">
        <v>2</v>
      </c>
      <c r="Q49">
        <v>0</v>
      </c>
      <c r="R49" t="s">
        <v>2738</v>
      </c>
      <c r="S49">
        <v>4</v>
      </c>
      <c r="T49">
        <v>2</v>
      </c>
      <c r="U49" t="s">
        <v>2636</v>
      </c>
      <c r="W49">
        <v>84</v>
      </c>
      <c r="X49">
        <v>10</v>
      </c>
      <c r="Y49" s="7">
        <f t="shared" si="7"/>
        <v>8.4</v>
      </c>
      <c r="Z49">
        <v>1</v>
      </c>
      <c r="AA49">
        <v>374</v>
      </c>
      <c r="AB49">
        <v>0</v>
      </c>
      <c r="AC49">
        <v>2</v>
      </c>
      <c r="AD49">
        <v>2</v>
      </c>
      <c r="AE49" t="s">
        <v>2636</v>
      </c>
      <c r="AF49">
        <v>2</v>
      </c>
      <c r="AG49" t="s">
        <v>2739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0</v>
      </c>
      <c r="BA49">
        <v>0</v>
      </c>
      <c r="BB49">
        <v>0</v>
      </c>
      <c r="BF49" t="s">
        <v>2641</v>
      </c>
      <c r="BG49">
        <v>4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f t="shared" si="8"/>
        <v>1</v>
      </c>
      <c r="BQ49">
        <v>0</v>
      </c>
      <c r="BR49">
        <v>0</v>
      </c>
      <c r="BV49">
        <v>0</v>
      </c>
      <c r="BW49">
        <v>0</v>
      </c>
      <c r="BY49">
        <v>0</v>
      </c>
      <c r="BZ49">
        <v>1</v>
      </c>
      <c r="CA49" s="1">
        <v>42597</v>
      </c>
      <c r="CB49">
        <f t="shared" si="0"/>
        <v>119</v>
      </c>
      <c r="CC49">
        <f t="shared" si="1"/>
        <v>3</v>
      </c>
      <c r="CD49">
        <v>1</v>
      </c>
      <c r="CE49" s="1">
        <v>42725</v>
      </c>
      <c r="CF49">
        <f t="shared" si="2"/>
        <v>247</v>
      </c>
      <c r="CG49">
        <f t="shared" si="3"/>
        <v>8</v>
      </c>
      <c r="CH49" s="1">
        <v>42725</v>
      </c>
      <c r="CI49">
        <f t="shared" si="4"/>
        <v>247</v>
      </c>
      <c r="CJ49">
        <f t="shared" si="5"/>
        <v>8</v>
      </c>
    </row>
    <row r="50" spans="1:89" x14ac:dyDescent="0.2">
      <c r="A50" t="s">
        <v>2497</v>
      </c>
      <c r="D50" s="1">
        <v>17537</v>
      </c>
      <c r="E50">
        <v>0</v>
      </c>
      <c r="F50">
        <v>1</v>
      </c>
      <c r="G50">
        <f t="shared" si="6"/>
        <v>68</v>
      </c>
      <c r="H50">
        <v>1</v>
      </c>
      <c r="I50">
        <v>22.57</v>
      </c>
      <c r="J50" s="1">
        <v>42640</v>
      </c>
      <c r="K50" s="1">
        <v>42705</v>
      </c>
      <c r="L50">
        <v>64</v>
      </c>
      <c r="M50">
        <v>2.13</v>
      </c>
      <c r="N50" t="s">
        <v>2634</v>
      </c>
      <c r="O50">
        <v>0</v>
      </c>
      <c r="P50">
        <v>2</v>
      </c>
      <c r="Q50">
        <v>0</v>
      </c>
      <c r="R50" t="s">
        <v>2659</v>
      </c>
      <c r="S50">
        <v>1</v>
      </c>
      <c r="T50">
        <v>1</v>
      </c>
      <c r="U50" s="8" t="s">
        <v>2740</v>
      </c>
      <c r="W50">
        <v>82</v>
      </c>
      <c r="X50">
        <v>11</v>
      </c>
      <c r="Y50" s="7">
        <f t="shared" si="7"/>
        <v>7.4545454545454541</v>
      </c>
      <c r="Z50">
        <v>1</v>
      </c>
      <c r="AA50">
        <v>453</v>
      </c>
      <c r="AB50">
        <v>1</v>
      </c>
      <c r="AC50">
        <v>3</v>
      </c>
      <c r="AD50">
        <v>2</v>
      </c>
      <c r="AE50" t="s">
        <v>2636</v>
      </c>
      <c r="AF50">
        <v>2</v>
      </c>
      <c r="AG50" t="s">
        <v>2741</v>
      </c>
      <c r="AH50">
        <v>1</v>
      </c>
      <c r="AI50">
        <v>0</v>
      </c>
      <c r="AJ50">
        <v>1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</v>
      </c>
      <c r="BC50" t="s">
        <v>2644</v>
      </c>
      <c r="BD50" t="s">
        <v>2639</v>
      </c>
      <c r="BE50" t="s">
        <v>2678</v>
      </c>
      <c r="BF50" t="s">
        <v>2641</v>
      </c>
      <c r="BG50">
        <v>4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f t="shared" si="8"/>
        <v>1</v>
      </c>
      <c r="BQ50">
        <v>0</v>
      </c>
      <c r="BR50">
        <v>0</v>
      </c>
      <c r="BV50">
        <v>0</v>
      </c>
      <c r="BW50">
        <v>0</v>
      </c>
      <c r="BY50">
        <v>0</v>
      </c>
      <c r="BZ50">
        <v>1</v>
      </c>
      <c r="CA50" s="1">
        <v>42703</v>
      </c>
      <c r="CB50">
        <f t="shared" si="0"/>
        <v>63</v>
      </c>
      <c r="CC50">
        <f t="shared" si="1"/>
        <v>2</v>
      </c>
      <c r="CD50">
        <v>1</v>
      </c>
      <c r="CE50" s="1">
        <v>43234</v>
      </c>
      <c r="CF50">
        <f t="shared" si="2"/>
        <v>594</v>
      </c>
      <c r="CG50">
        <f t="shared" si="3"/>
        <v>19</v>
      </c>
      <c r="CH50" s="1">
        <v>43234</v>
      </c>
      <c r="CI50">
        <f t="shared" si="4"/>
        <v>594</v>
      </c>
      <c r="CJ50">
        <f t="shared" si="5"/>
        <v>19</v>
      </c>
    </row>
    <row r="51" spans="1:89" x14ac:dyDescent="0.2">
      <c r="A51" t="s">
        <v>2498</v>
      </c>
      <c r="D51" s="1">
        <v>21424</v>
      </c>
      <c r="E51">
        <v>0</v>
      </c>
      <c r="F51">
        <v>0</v>
      </c>
      <c r="G51">
        <f t="shared" si="6"/>
        <v>60</v>
      </c>
      <c r="H51">
        <v>1</v>
      </c>
      <c r="I51">
        <v>20.88</v>
      </c>
      <c r="J51" s="1">
        <v>43573</v>
      </c>
      <c r="K51" s="1">
        <v>43745</v>
      </c>
      <c r="L51">
        <v>169</v>
      </c>
      <c r="M51">
        <v>5.63</v>
      </c>
      <c r="N51" t="s">
        <v>2742</v>
      </c>
      <c r="O51">
        <v>1</v>
      </c>
      <c r="P51">
        <v>1</v>
      </c>
      <c r="Q51">
        <v>0</v>
      </c>
      <c r="R51" t="s">
        <v>2659</v>
      </c>
      <c r="S51">
        <v>1</v>
      </c>
      <c r="T51">
        <v>0</v>
      </c>
      <c r="U51">
        <v>0</v>
      </c>
      <c r="W51">
        <v>69</v>
      </c>
      <c r="X51">
        <v>23</v>
      </c>
      <c r="Y51" s="7">
        <f t="shared" si="7"/>
        <v>3</v>
      </c>
      <c r="Z51">
        <v>0</v>
      </c>
      <c r="AA51">
        <v>203</v>
      </c>
      <c r="AB51">
        <v>0</v>
      </c>
      <c r="AC51">
        <v>3</v>
      </c>
      <c r="AD51">
        <v>0</v>
      </c>
      <c r="AE51" t="s">
        <v>2636</v>
      </c>
      <c r="AF51">
        <v>2</v>
      </c>
      <c r="AG51" t="s">
        <v>2743</v>
      </c>
      <c r="AH51">
        <v>2</v>
      </c>
      <c r="AI51">
        <v>0</v>
      </c>
      <c r="AJ51">
        <v>1</v>
      </c>
      <c r="AK51">
        <v>0</v>
      </c>
      <c r="AL51">
        <v>2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0</v>
      </c>
      <c r="AY51">
        <v>0</v>
      </c>
      <c r="AZ51">
        <v>0</v>
      </c>
      <c r="BA51">
        <v>0</v>
      </c>
      <c r="BB51">
        <v>1</v>
      </c>
      <c r="BC51" t="s">
        <v>2644</v>
      </c>
      <c r="BD51" t="s">
        <v>2695</v>
      </c>
      <c r="BE51" t="s">
        <v>2678</v>
      </c>
      <c r="BF51" t="s">
        <v>2641</v>
      </c>
      <c r="BG51">
        <v>4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f t="shared" si="8"/>
        <v>3</v>
      </c>
      <c r="BQ51">
        <v>0</v>
      </c>
      <c r="BR51">
        <v>0</v>
      </c>
      <c r="BV51">
        <v>0</v>
      </c>
      <c r="BW51">
        <v>0</v>
      </c>
      <c r="BY51">
        <v>1</v>
      </c>
      <c r="BZ51">
        <v>1</v>
      </c>
      <c r="CA51" s="1">
        <v>43687</v>
      </c>
      <c r="CB51">
        <f t="shared" si="0"/>
        <v>114</v>
      </c>
      <c r="CC51">
        <f t="shared" si="1"/>
        <v>3</v>
      </c>
      <c r="CD51">
        <v>1</v>
      </c>
      <c r="CE51" s="1">
        <v>44139</v>
      </c>
      <c r="CF51">
        <f t="shared" si="2"/>
        <v>566</v>
      </c>
      <c r="CG51">
        <f t="shared" si="3"/>
        <v>18</v>
      </c>
      <c r="CH51" s="1">
        <v>44139</v>
      </c>
      <c r="CI51">
        <f t="shared" si="4"/>
        <v>566</v>
      </c>
      <c r="CJ51">
        <f t="shared" si="5"/>
        <v>18</v>
      </c>
    </row>
    <row r="52" spans="1:89" x14ac:dyDescent="0.2">
      <c r="A52" t="s">
        <v>2499</v>
      </c>
      <c r="D52" s="1">
        <v>13171</v>
      </c>
      <c r="E52">
        <v>0</v>
      </c>
      <c r="F52">
        <v>1</v>
      </c>
      <c r="G52">
        <f t="shared" si="6"/>
        <v>82</v>
      </c>
      <c r="H52">
        <v>2</v>
      </c>
      <c r="I52">
        <v>27.18</v>
      </c>
      <c r="J52" s="1">
        <v>43280</v>
      </c>
      <c r="K52" s="1">
        <v>43350</v>
      </c>
      <c r="L52">
        <v>68</v>
      </c>
      <c r="M52">
        <v>2.27</v>
      </c>
      <c r="N52" t="s">
        <v>2735</v>
      </c>
      <c r="O52">
        <v>0</v>
      </c>
      <c r="P52">
        <v>2</v>
      </c>
      <c r="Q52">
        <v>0</v>
      </c>
      <c r="R52" t="s">
        <v>2744</v>
      </c>
      <c r="S52">
        <v>4</v>
      </c>
      <c r="T52">
        <v>0</v>
      </c>
      <c r="U52">
        <v>10</v>
      </c>
      <c r="V52">
        <v>0</v>
      </c>
      <c r="W52">
        <v>80</v>
      </c>
      <c r="X52">
        <v>9</v>
      </c>
      <c r="Y52" s="7">
        <f t="shared" si="7"/>
        <v>8.8888888888888893</v>
      </c>
      <c r="Z52">
        <v>1</v>
      </c>
      <c r="AA52">
        <v>201</v>
      </c>
      <c r="AB52">
        <v>0</v>
      </c>
      <c r="AC52">
        <v>3</v>
      </c>
      <c r="AD52">
        <v>2</v>
      </c>
      <c r="AE52">
        <v>11</v>
      </c>
      <c r="AF52">
        <v>1</v>
      </c>
      <c r="AG52" t="s">
        <v>2745</v>
      </c>
      <c r="AH52">
        <v>1</v>
      </c>
      <c r="AI52">
        <v>0</v>
      </c>
      <c r="AJ52">
        <v>0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0</v>
      </c>
      <c r="AY52">
        <v>0</v>
      </c>
      <c r="AZ52">
        <v>0</v>
      </c>
      <c r="BA52">
        <v>0</v>
      </c>
      <c r="BB52">
        <v>0</v>
      </c>
      <c r="BC52" t="s">
        <v>2647</v>
      </c>
      <c r="BD52" t="s">
        <v>2639</v>
      </c>
      <c r="BE52" t="s">
        <v>2678</v>
      </c>
      <c r="BF52" t="s">
        <v>2681</v>
      </c>
      <c r="BG52">
        <v>4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1</v>
      </c>
      <c r="BO52">
        <v>0</v>
      </c>
      <c r="BP52">
        <f t="shared" si="8"/>
        <v>4</v>
      </c>
      <c r="BQ52">
        <v>1</v>
      </c>
      <c r="BR52">
        <v>1</v>
      </c>
      <c r="BS52" s="1">
        <v>43495</v>
      </c>
      <c r="BT52">
        <f>DATEDIF(J52,BS52,"d")</f>
        <v>215</v>
      </c>
      <c r="BU52">
        <f>DATEDIF(J52,BS52,"m")</f>
        <v>7</v>
      </c>
      <c r="BV52">
        <v>0</v>
      </c>
      <c r="BW52">
        <v>1</v>
      </c>
      <c r="BY52">
        <v>0</v>
      </c>
      <c r="BZ52">
        <v>1</v>
      </c>
      <c r="CA52" s="1">
        <v>43347</v>
      </c>
      <c r="CB52">
        <f t="shared" si="0"/>
        <v>67</v>
      </c>
      <c r="CC52">
        <f t="shared" si="1"/>
        <v>2</v>
      </c>
      <c r="CD52">
        <v>1</v>
      </c>
      <c r="CE52" s="1">
        <v>43683</v>
      </c>
      <c r="CF52">
        <f t="shared" si="2"/>
        <v>403</v>
      </c>
      <c r="CG52">
        <f t="shared" si="3"/>
        <v>13</v>
      </c>
      <c r="CH52" s="1">
        <v>43691</v>
      </c>
      <c r="CI52">
        <f t="shared" si="4"/>
        <v>411</v>
      </c>
      <c r="CJ52">
        <f t="shared" si="5"/>
        <v>13</v>
      </c>
    </row>
    <row r="53" spans="1:89" x14ac:dyDescent="0.2">
      <c r="A53" t="s">
        <v>2500</v>
      </c>
      <c r="D53" s="1">
        <v>17984</v>
      </c>
      <c r="E53">
        <v>0</v>
      </c>
      <c r="F53">
        <v>0</v>
      </c>
      <c r="G53">
        <f t="shared" si="6"/>
        <v>66</v>
      </c>
      <c r="H53">
        <v>2</v>
      </c>
      <c r="I53">
        <v>23.89</v>
      </c>
      <c r="J53" s="1">
        <v>42250</v>
      </c>
      <c r="K53" s="1">
        <v>42271</v>
      </c>
      <c r="L53">
        <v>21</v>
      </c>
      <c r="M53">
        <v>0.7</v>
      </c>
      <c r="N53" t="s">
        <v>2634</v>
      </c>
      <c r="O53">
        <v>0</v>
      </c>
      <c r="P53">
        <v>2</v>
      </c>
      <c r="Q53">
        <v>0</v>
      </c>
      <c r="R53" t="s">
        <v>2746</v>
      </c>
      <c r="S53">
        <v>1</v>
      </c>
      <c r="T53">
        <v>2</v>
      </c>
      <c r="U53" t="s">
        <v>2636</v>
      </c>
      <c r="W53">
        <v>67</v>
      </c>
      <c r="X53">
        <v>17</v>
      </c>
      <c r="Y53" s="7">
        <f t="shared" si="7"/>
        <v>3.9411764705882355</v>
      </c>
      <c r="Z53">
        <v>0</v>
      </c>
      <c r="AA53">
        <v>400</v>
      </c>
      <c r="AB53">
        <v>1</v>
      </c>
      <c r="AC53">
        <v>3</v>
      </c>
      <c r="AD53">
        <v>2</v>
      </c>
      <c r="AE53" t="s">
        <v>2636</v>
      </c>
      <c r="AF53">
        <v>2</v>
      </c>
      <c r="AG53" t="s">
        <v>2582</v>
      </c>
      <c r="AH53">
        <v>2</v>
      </c>
      <c r="AI53">
        <v>1</v>
      </c>
      <c r="AJ53">
        <v>0</v>
      </c>
      <c r="AK53">
        <v>2</v>
      </c>
      <c r="AL53">
        <v>2</v>
      </c>
      <c r="AM53">
        <v>0</v>
      </c>
      <c r="AN53">
        <v>0</v>
      </c>
      <c r="AO53">
        <v>2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>
        <v>0</v>
      </c>
      <c r="BF53" t="s">
        <v>2641</v>
      </c>
      <c r="BG53">
        <v>4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1</v>
      </c>
      <c r="BP53">
        <f t="shared" si="8"/>
        <v>5</v>
      </c>
      <c r="BQ53">
        <v>0</v>
      </c>
      <c r="BR53">
        <v>0</v>
      </c>
      <c r="BV53">
        <v>0</v>
      </c>
      <c r="BW53">
        <v>0</v>
      </c>
      <c r="BY53">
        <v>0</v>
      </c>
      <c r="BZ53">
        <v>1</v>
      </c>
      <c r="CA53" s="1">
        <v>42291</v>
      </c>
      <c r="CB53">
        <f t="shared" si="0"/>
        <v>41</v>
      </c>
      <c r="CC53">
        <f t="shared" si="1"/>
        <v>1</v>
      </c>
      <c r="CD53">
        <v>1</v>
      </c>
      <c r="CE53" s="1">
        <v>42318</v>
      </c>
      <c r="CF53">
        <f t="shared" si="2"/>
        <v>68</v>
      </c>
      <c r="CG53">
        <f t="shared" si="3"/>
        <v>2</v>
      </c>
      <c r="CH53" s="1">
        <v>42318</v>
      </c>
      <c r="CI53">
        <f t="shared" si="4"/>
        <v>68</v>
      </c>
      <c r="CJ53">
        <f t="shared" si="5"/>
        <v>2</v>
      </c>
    </row>
    <row r="54" spans="1:89" x14ac:dyDescent="0.2">
      <c r="A54" s="6" t="s">
        <v>2501</v>
      </c>
      <c r="D54" s="1">
        <v>26576</v>
      </c>
      <c r="E54">
        <v>0</v>
      </c>
      <c r="F54">
        <v>1</v>
      </c>
      <c r="G54">
        <f t="shared" si="6"/>
        <v>42</v>
      </c>
      <c r="H54">
        <v>2</v>
      </c>
      <c r="I54">
        <v>22.51</v>
      </c>
      <c r="J54" s="1">
        <v>42087</v>
      </c>
      <c r="K54" s="1">
        <v>42121</v>
      </c>
      <c r="L54">
        <v>33</v>
      </c>
      <c r="M54">
        <v>1.1000000000000001</v>
      </c>
      <c r="N54" t="s">
        <v>2747</v>
      </c>
      <c r="O54">
        <v>0</v>
      </c>
      <c r="P54">
        <v>2</v>
      </c>
      <c r="Q54">
        <v>0</v>
      </c>
      <c r="R54" t="s">
        <v>2659</v>
      </c>
      <c r="S54">
        <v>1</v>
      </c>
      <c r="T54">
        <v>2</v>
      </c>
      <c r="U54" t="s">
        <v>2636</v>
      </c>
      <c r="W54">
        <v>78</v>
      </c>
      <c r="X54">
        <v>13</v>
      </c>
      <c r="Y54" s="7">
        <f t="shared" si="7"/>
        <v>6</v>
      </c>
      <c r="Z54">
        <v>1</v>
      </c>
      <c r="AA54">
        <v>579</v>
      </c>
      <c r="AB54">
        <v>1</v>
      </c>
      <c r="AC54">
        <v>3</v>
      </c>
      <c r="AD54">
        <v>2</v>
      </c>
      <c r="AE54" t="s">
        <v>2636</v>
      </c>
      <c r="AF54">
        <v>2</v>
      </c>
      <c r="AG54" t="s">
        <v>2748</v>
      </c>
      <c r="AH54">
        <v>1</v>
      </c>
      <c r="AI54">
        <v>0</v>
      </c>
      <c r="AJ54">
        <v>0</v>
      </c>
      <c r="AK54">
        <v>1</v>
      </c>
      <c r="AL54">
        <v>2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0</v>
      </c>
      <c r="AY54">
        <v>1</v>
      </c>
      <c r="AZ54">
        <v>0</v>
      </c>
      <c r="BA54">
        <v>0</v>
      </c>
      <c r="BB54">
        <v>0</v>
      </c>
      <c r="BF54" t="s">
        <v>2641</v>
      </c>
      <c r="BG54">
        <v>4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f t="shared" si="8"/>
        <v>4</v>
      </c>
      <c r="BQ54">
        <v>0</v>
      </c>
      <c r="BR54">
        <v>0</v>
      </c>
      <c r="BV54">
        <v>0</v>
      </c>
      <c r="BW54">
        <v>0</v>
      </c>
      <c r="BY54">
        <v>0</v>
      </c>
      <c r="BZ54">
        <v>1</v>
      </c>
      <c r="CA54" s="1">
        <v>42118</v>
      </c>
      <c r="CB54">
        <f t="shared" si="0"/>
        <v>31</v>
      </c>
      <c r="CC54">
        <f t="shared" si="1"/>
        <v>1</v>
      </c>
      <c r="CD54">
        <v>1</v>
      </c>
      <c r="CE54" s="1">
        <v>42263</v>
      </c>
      <c r="CF54">
        <f t="shared" si="2"/>
        <v>176</v>
      </c>
      <c r="CG54">
        <f t="shared" si="3"/>
        <v>5</v>
      </c>
      <c r="CH54" s="1">
        <v>42315</v>
      </c>
      <c r="CI54">
        <f t="shared" si="4"/>
        <v>228</v>
      </c>
      <c r="CJ54">
        <f t="shared" si="5"/>
        <v>7</v>
      </c>
    </row>
    <row r="55" spans="1:89" x14ac:dyDescent="0.2">
      <c r="A55" t="s">
        <v>2502</v>
      </c>
      <c r="D55" s="1">
        <v>20454</v>
      </c>
      <c r="E55">
        <v>1</v>
      </c>
      <c r="F55">
        <v>1</v>
      </c>
      <c r="G55">
        <f t="shared" si="6"/>
        <v>59</v>
      </c>
      <c r="H55">
        <v>2</v>
      </c>
      <c r="I55">
        <v>22.36</v>
      </c>
      <c r="J55" s="1">
        <v>42096</v>
      </c>
      <c r="K55" s="1">
        <v>42370</v>
      </c>
      <c r="L55">
        <v>269</v>
      </c>
      <c r="M55">
        <v>8.9700000000000006</v>
      </c>
      <c r="N55" t="s">
        <v>2699</v>
      </c>
      <c r="O55">
        <v>0</v>
      </c>
      <c r="P55">
        <v>2</v>
      </c>
      <c r="Q55">
        <v>0</v>
      </c>
      <c r="R55" t="s">
        <v>2688</v>
      </c>
      <c r="S55">
        <v>2</v>
      </c>
      <c r="T55">
        <v>1</v>
      </c>
      <c r="U55" t="s">
        <v>2749</v>
      </c>
      <c r="W55">
        <v>81</v>
      </c>
      <c r="X55">
        <v>11</v>
      </c>
      <c r="Y55" s="7">
        <f t="shared" si="7"/>
        <v>7.3636363636363633</v>
      </c>
      <c r="Z55">
        <v>1</v>
      </c>
      <c r="AA55">
        <v>277</v>
      </c>
      <c r="AB55">
        <v>0</v>
      </c>
      <c r="AC55">
        <v>2</v>
      </c>
      <c r="AD55">
        <v>2</v>
      </c>
      <c r="AE55" t="s">
        <v>2636</v>
      </c>
      <c r="AF55">
        <v>2</v>
      </c>
      <c r="AG55" t="s">
        <v>2750</v>
      </c>
      <c r="AH55">
        <v>1</v>
      </c>
      <c r="AI55">
        <v>2</v>
      </c>
      <c r="AJ55">
        <v>1</v>
      </c>
      <c r="AK55">
        <v>1</v>
      </c>
      <c r="AL55">
        <v>1</v>
      </c>
      <c r="AM55">
        <v>0</v>
      </c>
      <c r="AN55">
        <v>0</v>
      </c>
      <c r="AO55">
        <v>2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 t="s">
        <v>2647</v>
      </c>
      <c r="BD55" t="s">
        <v>2695</v>
      </c>
      <c r="BE55" t="s">
        <v>2678</v>
      </c>
      <c r="BF55" t="s">
        <v>2670</v>
      </c>
      <c r="BG55">
        <v>4</v>
      </c>
      <c r="BH55">
        <v>1</v>
      </c>
      <c r="BI55">
        <v>0</v>
      </c>
      <c r="BJ55">
        <v>1</v>
      </c>
      <c r="BK55">
        <v>0</v>
      </c>
      <c r="BL55">
        <v>0</v>
      </c>
      <c r="BM55">
        <v>1</v>
      </c>
      <c r="BN55">
        <v>1</v>
      </c>
      <c r="BO55">
        <v>0</v>
      </c>
      <c r="BP55">
        <f t="shared" si="8"/>
        <v>4</v>
      </c>
      <c r="BQ55">
        <v>1</v>
      </c>
      <c r="BR55">
        <v>1</v>
      </c>
      <c r="BS55" s="1">
        <v>42180</v>
      </c>
      <c r="BT55">
        <f>DATEDIF(J55,BS55,"d")</f>
        <v>84</v>
      </c>
      <c r="BU55">
        <f>DATEDIF(J55,BS55,"m")</f>
        <v>2</v>
      </c>
      <c r="BV55">
        <v>1</v>
      </c>
      <c r="BW55">
        <v>0</v>
      </c>
      <c r="BY55">
        <v>0</v>
      </c>
      <c r="BZ55">
        <v>1</v>
      </c>
      <c r="CA55" s="1">
        <v>42468</v>
      </c>
      <c r="CB55">
        <f t="shared" si="0"/>
        <v>372</v>
      </c>
      <c r="CC55">
        <f t="shared" si="1"/>
        <v>12</v>
      </c>
      <c r="CD55">
        <v>1</v>
      </c>
      <c r="CE55" s="1">
        <v>42642</v>
      </c>
      <c r="CF55">
        <f t="shared" si="2"/>
        <v>546</v>
      </c>
      <c r="CG55">
        <f t="shared" si="3"/>
        <v>17</v>
      </c>
      <c r="CH55" s="1">
        <v>42668</v>
      </c>
      <c r="CI55">
        <f t="shared" si="4"/>
        <v>572</v>
      </c>
      <c r="CJ55">
        <f t="shared" si="5"/>
        <v>18</v>
      </c>
    </row>
    <row r="56" spans="1:89" x14ac:dyDescent="0.2">
      <c r="A56" t="s">
        <v>2503</v>
      </c>
      <c r="D56" s="1">
        <v>13962</v>
      </c>
      <c r="E56">
        <v>1</v>
      </c>
      <c r="F56">
        <v>1</v>
      </c>
      <c r="G56">
        <f t="shared" si="6"/>
        <v>76</v>
      </c>
      <c r="H56">
        <v>1</v>
      </c>
      <c r="I56">
        <v>21.79</v>
      </c>
      <c r="J56" s="1">
        <v>42024</v>
      </c>
      <c r="K56" s="1">
        <v>42180</v>
      </c>
      <c r="L56">
        <v>155</v>
      </c>
      <c r="M56">
        <v>5.17</v>
      </c>
      <c r="N56" t="s">
        <v>2634</v>
      </c>
      <c r="O56">
        <v>0</v>
      </c>
      <c r="P56">
        <v>2</v>
      </c>
      <c r="Q56">
        <v>0</v>
      </c>
      <c r="R56" t="s">
        <v>2659</v>
      </c>
      <c r="S56">
        <v>1</v>
      </c>
      <c r="T56">
        <v>2</v>
      </c>
      <c r="U56" t="s">
        <v>2636</v>
      </c>
      <c r="W56">
        <v>16</v>
      </c>
      <c r="X56">
        <v>74</v>
      </c>
      <c r="Y56" s="7">
        <f t="shared" si="7"/>
        <v>0.21621621621621623</v>
      </c>
      <c r="Z56">
        <v>0</v>
      </c>
      <c r="AA56">
        <v>318</v>
      </c>
      <c r="AB56">
        <v>0</v>
      </c>
      <c r="AC56">
        <v>3</v>
      </c>
      <c r="AD56">
        <v>2</v>
      </c>
      <c r="AE56" t="s">
        <v>2636</v>
      </c>
      <c r="AF56">
        <v>2</v>
      </c>
      <c r="AG56" t="s">
        <v>2751</v>
      </c>
      <c r="AH56">
        <v>2</v>
      </c>
      <c r="AI56">
        <v>0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0</v>
      </c>
      <c r="BB56">
        <v>1</v>
      </c>
      <c r="BC56" t="s">
        <v>2647</v>
      </c>
      <c r="BD56" t="s">
        <v>2695</v>
      </c>
      <c r="BE56" t="s">
        <v>2640</v>
      </c>
      <c r="BF56" t="s">
        <v>2641</v>
      </c>
      <c r="BG56">
        <v>4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f t="shared" si="8"/>
        <v>2</v>
      </c>
      <c r="BQ56">
        <v>0</v>
      </c>
      <c r="BR56">
        <v>0</v>
      </c>
      <c r="BV56">
        <v>0</v>
      </c>
      <c r="BW56">
        <v>0</v>
      </c>
      <c r="BY56">
        <v>0</v>
      </c>
      <c r="BZ56">
        <v>0</v>
      </c>
      <c r="CA56" s="1">
        <v>42193</v>
      </c>
      <c r="CB56">
        <f t="shared" si="0"/>
        <v>169</v>
      </c>
      <c r="CC56">
        <f t="shared" si="1"/>
        <v>5</v>
      </c>
      <c r="CD56">
        <v>1</v>
      </c>
      <c r="CE56" s="1">
        <v>42193</v>
      </c>
      <c r="CF56">
        <f t="shared" si="2"/>
        <v>169</v>
      </c>
      <c r="CG56">
        <f t="shared" si="3"/>
        <v>5</v>
      </c>
      <c r="CH56" s="1">
        <v>42240</v>
      </c>
      <c r="CI56">
        <f t="shared" si="4"/>
        <v>216</v>
      </c>
      <c r="CJ56">
        <f t="shared" si="5"/>
        <v>7</v>
      </c>
    </row>
    <row r="57" spans="1:89" x14ac:dyDescent="0.2">
      <c r="A57" t="s">
        <v>2504</v>
      </c>
      <c r="D57" s="1">
        <v>21172</v>
      </c>
      <c r="E57">
        <v>0</v>
      </c>
      <c r="F57">
        <v>0</v>
      </c>
      <c r="G57">
        <f t="shared" si="6"/>
        <v>61</v>
      </c>
      <c r="H57">
        <v>2</v>
      </c>
      <c r="I57">
        <v>31.3</v>
      </c>
      <c r="J57" s="1">
        <v>43480</v>
      </c>
      <c r="K57" s="1">
        <v>43521</v>
      </c>
      <c r="L57">
        <v>40</v>
      </c>
      <c r="M57">
        <v>1.33</v>
      </c>
      <c r="N57" t="s">
        <v>2634</v>
      </c>
      <c r="O57">
        <v>0</v>
      </c>
      <c r="P57">
        <v>1</v>
      </c>
      <c r="Q57">
        <v>0</v>
      </c>
      <c r="R57" t="s">
        <v>2659</v>
      </c>
      <c r="S57">
        <v>1</v>
      </c>
      <c r="T57">
        <v>1</v>
      </c>
      <c r="U57">
        <v>20</v>
      </c>
      <c r="V57">
        <v>15</v>
      </c>
      <c r="W57">
        <v>71</v>
      </c>
      <c r="X57">
        <v>14</v>
      </c>
      <c r="Y57" s="7">
        <f t="shared" si="7"/>
        <v>5.0714285714285712</v>
      </c>
      <c r="Z57">
        <v>1</v>
      </c>
      <c r="AA57">
        <v>251</v>
      </c>
      <c r="AB57">
        <v>0</v>
      </c>
      <c r="AC57">
        <v>3</v>
      </c>
      <c r="AD57">
        <v>0</v>
      </c>
      <c r="AE57" t="s">
        <v>2636</v>
      </c>
      <c r="AF57">
        <v>2</v>
      </c>
      <c r="AG57" t="s">
        <v>2752</v>
      </c>
      <c r="AH57">
        <v>1</v>
      </c>
      <c r="AI57">
        <v>0</v>
      </c>
      <c r="AJ57">
        <v>1</v>
      </c>
      <c r="AK57">
        <v>0</v>
      </c>
      <c r="AL57">
        <v>2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 t="s">
        <v>2753</v>
      </c>
      <c r="BD57" t="s">
        <v>2754</v>
      </c>
      <c r="BE57" t="s">
        <v>2678</v>
      </c>
      <c r="BF57" t="s">
        <v>2681</v>
      </c>
      <c r="BG57">
        <v>4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  <c r="BN57">
        <v>1</v>
      </c>
      <c r="BO57">
        <v>0</v>
      </c>
      <c r="BP57">
        <f t="shared" si="8"/>
        <v>5</v>
      </c>
      <c r="BQ57">
        <v>1</v>
      </c>
      <c r="BR57">
        <v>1</v>
      </c>
      <c r="BS57" s="1">
        <v>43645</v>
      </c>
      <c r="BT57">
        <f>DATEDIF(J57,BS57,"d")</f>
        <v>165</v>
      </c>
      <c r="BU57">
        <f>DATEDIF(J57,BS57,"m")</f>
        <v>5</v>
      </c>
      <c r="BV57">
        <v>1</v>
      </c>
      <c r="BW57">
        <v>0</v>
      </c>
      <c r="BY57">
        <v>0</v>
      </c>
      <c r="BZ57">
        <v>1</v>
      </c>
      <c r="CA57" s="1">
        <v>43521</v>
      </c>
      <c r="CB57">
        <f t="shared" si="0"/>
        <v>41</v>
      </c>
      <c r="CC57">
        <f t="shared" si="1"/>
        <v>1</v>
      </c>
      <c r="CD57">
        <v>1</v>
      </c>
      <c r="CE57" s="1">
        <v>43674</v>
      </c>
      <c r="CF57">
        <f t="shared" si="2"/>
        <v>194</v>
      </c>
      <c r="CG57">
        <f t="shared" si="3"/>
        <v>6</v>
      </c>
      <c r="CH57" s="1">
        <v>43674</v>
      </c>
      <c r="CI57">
        <f t="shared" si="4"/>
        <v>194</v>
      </c>
      <c r="CJ57">
        <f t="shared" si="5"/>
        <v>6</v>
      </c>
    </row>
    <row r="58" spans="1:89" x14ac:dyDescent="0.2">
      <c r="A58" t="s">
        <v>2505</v>
      </c>
      <c r="D58" s="1">
        <v>13728</v>
      </c>
      <c r="E58">
        <v>1</v>
      </c>
      <c r="F58">
        <v>1</v>
      </c>
      <c r="G58">
        <f t="shared" si="6"/>
        <v>79</v>
      </c>
      <c r="H58">
        <v>2</v>
      </c>
      <c r="I58">
        <v>32.18</v>
      </c>
      <c r="J58" s="1">
        <v>42923</v>
      </c>
      <c r="K58" s="1">
        <v>43021</v>
      </c>
      <c r="L58">
        <v>96</v>
      </c>
      <c r="M58">
        <v>3.2</v>
      </c>
      <c r="N58" t="s">
        <v>2735</v>
      </c>
      <c r="O58">
        <v>0</v>
      </c>
      <c r="P58">
        <v>2</v>
      </c>
      <c r="Q58">
        <v>0</v>
      </c>
      <c r="R58" t="s">
        <v>2659</v>
      </c>
      <c r="S58">
        <v>1</v>
      </c>
      <c r="T58">
        <v>1</v>
      </c>
      <c r="U58" s="8" t="s">
        <v>2755</v>
      </c>
      <c r="V58">
        <v>0</v>
      </c>
      <c r="W58">
        <v>59</v>
      </c>
      <c r="X58">
        <v>27</v>
      </c>
      <c r="Y58" s="7">
        <f t="shared" si="7"/>
        <v>2.1851851851851851</v>
      </c>
      <c r="Z58">
        <v>0</v>
      </c>
      <c r="AA58">
        <v>209</v>
      </c>
      <c r="AB58">
        <v>0</v>
      </c>
      <c r="AC58">
        <v>3</v>
      </c>
      <c r="AD58">
        <v>2</v>
      </c>
      <c r="AE58" t="s">
        <v>2636</v>
      </c>
      <c r="AF58">
        <v>2</v>
      </c>
      <c r="AG58" t="s">
        <v>2756</v>
      </c>
      <c r="AH58">
        <v>1</v>
      </c>
      <c r="AI58">
        <v>0</v>
      </c>
      <c r="AJ58">
        <v>0</v>
      </c>
      <c r="AK58">
        <v>0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 t="s">
        <v>2650</v>
      </c>
      <c r="BD58" t="s">
        <v>2695</v>
      </c>
      <c r="BE58" t="s">
        <v>2698</v>
      </c>
      <c r="BF58" t="s">
        <v>2717</v>
      </c>
      <c r="BG58">
        <v>4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f t="shared" si="8"/>
        <v>0</v>
      </c>
      <c r="BQ58">
        <v>0</v>
      </c>
      <c r="BR58">
        <v>0</v>
      </c>
      <c r="BV58">
        <v>0</v>
      </c>
      <c r="BW58">
        <v>0</v>
      </c>
      <c r="BY58">
        <v>0</v>
      </c>
      <c r="BZ58">
        <v>1</v>
      </c>
      <c r="CA58" s="1">
        <v>43014</v>
      </c>
      <c r="CB58">
        <f t="shared" si="0"/>
        <v>91</v>
      </c>
      <c r="CC58">
        <f t="shared" si="1"/>
        <v>2</v>
      </c>
      <c r="CD58" s="10">
        <v>0</v>
      </c>
      <c r="CE58" s="1">
        <v>43215</v>
      </c>
      <c r="CF58">
        <f t="shared" si="2"/>
        <v>292</v>
      </c>
      <c r="CG58">
        <f t="shared" si="3"/>
        <v>9</v>
      </c>
      <c r="CH58" s="1">
        <v>43215</v>
      </c>
      <c r="CI58">
        <f t="shared" si="4"/>
        <v>292</v>
      </c>
      <c r="CJ58">
        <f t="shared" si="5"/>
        <v>9</v>
      </c>
      <c r="CK58" t="s">
        <v>2757</v>
      </c>
    </row>
    <row r="59" spans="1:89" x14ac:dyDescent="0.2">
      <c r="A59" t="s">
        <v>2506</v>
      </c>
      <c r="D59" s="1">
        <v>14624</v>
      </c>
      <c r="E59">
        <v>0</v>
      </c>
      <c r="F59">
        <v>0</v>
      </c>
      <c r="G59">
        <f t="shared" si="6"/>
        <v>78</v>
      </c>
      <c r="H59">
        <v>2</v>
      </c>
      <c r="I59">
        <v>32.51</v>
      </c>
      <c r="J59" s="1">
        <v>43390</v>
      </c>
      <c r="K59" s="1">
        <v>43508</v>
      </c>
      <c r="L59">
        <v>115</v>
      </c>
      <c r="M59">
        <v>3.83</v>
      </c>
      <c r="N59" t="s">
        <v>2735</v>
      </c>
      <c r="O59">
        <v>0</v>
      </c>
      <c r="P59">
        <v>2</v>
      </c>
      <c r="Q59">
        <v>1</v>
      </c>
      <c r="R59" t="s">
        <v>2635</v>
      </c>
      <c r="S59">
        <v>1</v>
      </c>
      <c r="T59">
        <v>0</v>
      </c>
      <c r="U59">
        <v>0</v>
      </c>
      <c r="W59">
        <v>73</v>
      </c>
      <c r="X59">
        <v>16</v>
      </c>
      <c r="Y59" s="7">
        <f t="shared" si="7"/>
        <v>4.5625</v>
      </c>
      <c r="Z59">
        <v>1</v>
      </c>
      <c r="AA59">
        <v>273</v>
      </c>
      <c r="AB59">
        <v>0</v>
      </c>
      <c r="AC59">
        <v>3</v>
      </c>
      <c r="AD59">
        <v>2</v>
      </c>
      <c r="AE59" t="s">
        <v>2636</v>
      </c>
      <c r="AF59">
        <v>2</v>
      </c>
      <c r="AG59" t="s">
        <v>2758</v>
      </c>
      <c r="AH59">
        <v>2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1</v>
      </c>
      <c r="BF59" t="s">
        <v>2681</v>
      </c>
      <c r="BG59">
        <v>4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f t="shared" si="8"/>
        <v>2</v>
      </c>
      <c r="BQ59">
        <v>0</v>
      </c>
      <c r="BR59">
        <v>0</v>
      </c>
      <c r="BV59">
        <v>0</v>
      </c>
      <c r="BW59">
        <v>0</v>
      </c>
      <c r="BY59">
        <v>0</v>
      </c>
      <c r="BZ59">
        <v>1</v>
      </c>
      <c r="CA59" s="1">
        <v>43507</v>
      </c>
      <c r="CB59">
        <f t="shared" si="0"/>
        <v>117</v>
      </c>
      <c r="CC59">
        <f t="shared" si="1"/>
        <v>3</v>
      </c>
      <c r="CD59">
        <v>1</v>
      </c>
      <c r="CE59" s="1">
        <v>43514</v>
      </c>
      <c r="CF59">
        <f t="shared" si="2"/>
        <v>124</v>
      </c>
      <c r="CG59">
        <f t="shared" si="3"/>
        <v>4</v>
      </c>
      <c r="CH59" s="1">
        <v>43518</v>
      </c>
      <c r="CI59">
        <f t="shared" si="4"/>
        <v>128</v>
      </c>
      <c r="CJ59">
        <f t="shared" si="5"/>
        <v>4</v>
      </c>
    </row>
    <row r="60" spans="1:89" x14ac:dyDescent="0.2">
      <c r="A60" t="s">
        <v>2507</v>
      </c>
      <c r="D60" s="1">
        <v>11777</v>
      </c>
      <c r="E60">
        <v>1</v>
      </c>
      <c r="F60">
        <v>1</v>
      </c>
      <c r="G60">
        <f t="shared" si="6"/>
        <v>88</v>
      </c>
      <c r="H60">
        <v>1</v>
      </c>
      <c r="I60">
        <v>25.16</v>
      </c>
      <c r="J60" s="1">
        <v>43997</v>
      </c>
      <c r="K60" s="1">
        <v>44085</v>
      </c>
      <c r="L60">
        <v>86</v>
      </c>
      <c r="M60">
        <v>2.87</v>
      </c>
      <c r="N60" t="s">
        <v>2699</v>
      </c>
      <c r="O60">
        <v>0</v>
      </c>
      <c r="P60">
        <v>2</v>
      </c>
      <c r="Q60">
        <v>0</v>
      </c>
      <c r="R60" t="s">
        <v>2659</v>
      </c>
      <c r="S60">
        <v>1</v>
      </c>
      <c r="T60">
        <v>0</v>
      </c>
      <c r="U60">
        <v>0</v>
      </c>
      <c r="V60">
        <v>0</v>
      </c>
      <c r="W60">
        <v>71</v>
      </c>
      <c r="X60">
        <v>15</v>
      </c>
      <c r="Y60" s="7">
        <f t="shared" si="7"/>
        <v>4.7333333333333334</v>
      </c>
      <c r="Z60">
        <v>1</v>
      </c>
      <c r="AA60">
        <v>189</v>
      </c>
      <c r="AB60">
        <v>0</v>
      </c>
      <c r="AC60">
        <v>3</v>
      </c>
      <c r="AD60">
        <v>2</v>
      </c>
      <c r="AE60" t="s">
        <v>2636</v>
      </c>
      <c r="AF60">
        <v>2</v>
      </c>
      <c r="AG60" t="s">
        <v>2759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0</v>
      </c>
      <c r="BB60">
        <v>1</v>
      </c>
      <c r="BF60" t="s">
        <v>2681</v>
      </c>
      <c r="BG60">
        <v>4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1</v>
      </c>
      <c r="BO60">
        <v>0</v>
      </c>
      <c r="BP60">
        <f t="shared" si="8"/>
        <v>2</v>
      </c>
      <c r="BQ60">
        <v>0</v>
      </c>
      <c r="BR60">
        <v>0</v>
      </c>
      <c r="BV60">
        <v>0</v>
      </c>
      <c r="BW60">
        <v>0</v>
      </c>
      <c r="BY60">
        <v>0</v>
      </c>
      <c r="BZ60">
        <v>1</v>
      </c>
      <c r="CA60" s="1">
        <v>44054</v>
      </c>
      <c r="CB60">
        <f t="shared" si="0"/>
        <v>57</v>
      </c>
      <c r="CC60">
        <f t="shared" si="1"/>
        <v>1</v>
      </c>
      <c r="CD60">
        <v>1</v>
      </c>
      <c r="CE60" s="1">
        <v>44522</v>
      </c>
      <c r="CF60">
        <f t="shared" si="2"/>
        <v>525</v>
      </c>
      <c r="CG60">
        <f t="shared" si="3"/>
        <v>17</v>
      </c>
      <c r="CH60" s="1">
        <v>44604</v>
      </c>
      <c r="CI60">
        <f t="shared" si="4"/>
        <v>607</v>
      </c>
      <c r="CJ60">
        <f t="shared" si="5"/>
        <v>19</v>
      </c>
    </row>
    <row r="61" spans="1:89" x14ac:dyDescent="0.2">
      <c r="A61" t="s">
        <v>2508</v>
      </c>
      <c r="D61" s="1">
        <v>22672</v>
      </c>
      <c r="E61">
        <v>0</v>
      </c>
      <c r="F61">
        <v>0</v>
      </c>
      <c r="G61">
        <f t="shared" si="6"/>
        <v>53</v>
      </c>
      <c r="H61">
        <v>1</v>
      </c>
      <c r="I61">
        <v>34.57</v>
      </c>
      <c r="J61" s="1">
        <v>42178</v>
      </c>
      <c r="K61" s="1">
        <v>42282</v>
      </c>
      <c r="L61">
        <v>102</v>
      </c>
      <c r="M61">
        <v>3.4</v>
      </c>
      <c r="N61" t="s">
        <v>2699</v>
      </c>
      <c r="O61">
        <v>0</v>
      </c>
      <c r="P61">
        <v>2</v>
      </c>
      <c r="Q61">
        <v>0</v>
      </c>
      <c r="R61" t="s">
        <v>2659</v>
      </c>
      <c r="S61">
        <v>1</v>
      </c>
      <c r="T61">
        <v>2</v>
      </c>
      <c r="U61" t="s">
        <v>2636</v>
      </c>
      <c r="W61">
        <v>60</v>
      </c>
      <c r="X61">
        <v>25</v>
      </c>
      <c r="Y61" s="7">
        <f t="shared" si="7"/>
        <v>2.4</v>
      </c>
      <c r="Z61">
        <v>0</v>
      </c>
      <c r="AA61">
        <v>352</v>
      </c>
      <c r="AB61">
        <v>0</v>
      </c>
      <c r="AC61">
        <v>3</v>
      </c>
      <c r="AD61">
        <v>2</v>
      </c>
      <c r="AE61" t="s">
        <v>2636</v>
      </c>
      <c r="AF61">
        <v>2</v>
      </c>
      <c r="AG61" t="s">
        <v>2760</v>
      </c>
      <c r="AH61">
        <v>2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0</v>
      </c>
      <c r="AY61">
        <v>0</v>
      </c>
      <c r="AZ61">
        <v>0</v>
      </c>
      <c r="BA61">
        <v>0</v>
      </c>
      <c r="BB61">
        <v>1</v>
      </c>
      <c r="BF61" t="s">
        <v>2641</v>
      </c>
      <c r="BG61">
        <v>4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1</v>
      </c>
      <c r="BP61">
        <f t="shared" si="8"/>
        <v>3</v>
      </c>
      <c r="BQ61">
        <v>0</v>
      </c>
      <c r="BR61">
        <v>0</v>
      </c>
      <c r="BV61">
        <v>0</v>
      </c>
      <c r="BW61">
        <v>0</v>
      </c>
      <c r="BY61">
        <v>0</v>
      </c>
      <c r="BZ61">
        <v>1</v>
      </c>
      <c r="CA61" s="1">
        <v>42278</v>
      </c>
      <c r="CB61">
        <f t="shared" si="0"/>
        <v>100</v>
      </c>
      <c r="CC61">
        <f t="shared" si="1"/>
        <v>3</v>
      </c>
      <c r="CD61">
        <v>1</v>
      </c>
      <c r="CE61" s="1">
        <v>42299</v>
      </c>
      <c r="CF61">
        <f t="shared" si="2"/>
        <v>121</v>
      </c>
      <c r="CG61">
        <f t="shared" si="3"/>
        <v>3</v>
      </c>
      <c r="CH61" s="1">
        <v>42331</v>
      </c>
      <c r="CI61">
        <f t="shared" si="4"/>
        <v>153</v>
      </c>
      <c r="CJ61">
        <f t="shared" si="5"/>
        <v>5</v>
      </c>
    </row>
    <row r="62" spans="1:89" x14ac:dyDescent="0.2">
      <c r="A62" t="s">
        <v>2509</v>
      </c>
      <c r="D62" s="1">
        <v>23881</v>
      </c>
      <c r="E62">
        <v>1</v>
      </c>
      <c r="F62">
        <v>1</v>
      </c>
      <c r="G62">
        <f t="shared" si="6"/>
        <v>50</v>
      </c>
      <c r="H62">
        <v>2</v>
      </c>
      <c r="I62">
        <v>26.98</v>
      </c>
      <c r="J62" s="1">
        <v>42250</v>
      </c>
      <c r="K62" s="1">
        <v>42794</v>
      </c>
      <c r="L62">
        <v>535</v>
      </c>
      <c r="M62">
        <v>17.829999999999998</v>
      </c>
      <c r="N62" t="s">
        <v>2699</v>
      </c>
      <c r="O62">
        <v>0</v>
      </c>
      <c r="P62">
        <v>1</v>
      </c>
      <c r="Q62">
        <v>0</v>
      </c>
      <c r="R62" t="s">
        <v>2761</v>
      </c>
      <c r="S62">
        <v>1</v>
      </c>
      <c r="T62">
        <v>1</v>
      </c>
      <c r="U62">
        <v>20</v>
      </c>
      <c r="W62">
        <v>64</v>
      </c>
      <c r="X62">
        <v>26</v>
      </c>
      <c r="Y62" s="7">
        <f t="shared" si="7"/>
        <v>2.4615384615384617</v>
      </c>
      <c r="Z62">
        <v>0</v>
      </c>
      <c r="AA62">
        <v>108</v>
      </c>
      <c r="AB62">
        <v>0</v>
      </c>
      <c r="AC62">
        <v>3</v>
      </c>
      <c r="AD62">
        <v>2</v>
      </c>
      <c r="AE62" t="s">
        <v>2636</v>
      </c>
      <c r="AF62">
        <v>2</v>
      </c>
      <c r="AG62" t="s">
        <v>2762</v>
      </c>
      <c r="AH62">
        <v>1</v>
      </c>
      <c r="AI62">
        <v>0</v>
      </c>
      <c r="AJ62">
        <v>0</v>
      </c>
      <c r="AK62">
        <v>0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B62">
        <v>1</v>
      </c>
      <c r="BF62" t="s">
        <v>2641</v>
      </c>
      <c r="BG62">
        <v>4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f t="shared" si="8"/>
        <v>1</v>
      </c>
      <c r="BQ62">
        <v>0</v>
      </c>
      <c r="BR62">
        <v>0</v>
      </c>
      <c r="BV62">
        <v>0</v>
      </c>
      <c r="BW62">
        <v>0</v>
      </c>
      <c r="BY62">
        <v>0</v>
      </c>
      <c r="BZ62">
        <v>1</v>
      </c>
      <c r="CA62" s="1">
        <v>42787</v>
      </c>
      <c r="CB62">
        <f t="shared" si="0"/>
        <v>537</v>
      </c>
      <c r="CC62">
        <f t="shared" si="1"/>
        <v>17</v>
      </c>
      <c r="CD62">
        <v>1</v>
      </c>
      <c r="CE62" s="1">
        <v>43178</v>
      </c>
      <c r="CF62">
        <f t="shared" si="2"/>
        <v>928</v>
      </c>
      <c r="CG62">
        <f t="shared" si="3"/>
        <v>30</v>
      </c>
      <c r="CH62" s="1">
        <v>43224</v>
      </c>
      <c r="CI62">
        <f t="shared" si="4"/>
        <v>974</v>
      </c>
      <c r="CJ62">
        <f t="shared" si="5"/>
        <v>32</v>
      </c>
    </row>
    <row r="63" spans="1:89" x14ac:dyDescent="0.2">
      <c r="A63" t="s">
        <v>2510</v>
      </c>
      <c r="D63" s="1">
        <v>31691</v>
      </c>
      <c r="E63">
        <v>0</v>
      </c>
      <c r="F63">
        <v>0</v>
      </c>
      <c r="G63">
        <f t="shared" si="6"/>
        <v>29</v>
      </c>
      <c r="H63">
        <v>1</v>
      </c>
      <c r="I63">
        <v>20.12</v>
      </c>
      <c r="J63" s="1">
        <v>42552</v>
      </c>
      <c r="K63" s="1">
        <v>42578</v>
      </c>
      <c r="L63">
        <v>26</v>
      </c>
      <c r="M63">
        <v>0.87</v>
      </c>
      <c r="N63" t="s">
        <v>2699</v>
      </c>
      <c r="O63">
        <v>0</v>
      </c>
      <c r="P63">
        <v>1</v>
      </c>
      <c r="Q63">
        <v>1</v>
      </c>
      <c r="R63" t="s">
        <v>2635</v>
      </c>
      <c r="S63">
        <v>1</v>
      </c>
      <c r="T63">
        <v>2</v>
      </c>
      <c r="U63" t="s">
        <v>2636</v>
      </c>
      <c r="W63">
        <v>73</v>
      </c>
      <c r="X63">
        <v>12</v>
      </c>
      <c r="Y63" s="7">
        <f t="shared" si="7"/>
        <v>6.083333333333333</v>
      </c>
      <c r="Z63">
        <v>1</v>
      </c>
      <c r="AA63">
        <v>268</v>
      </c>
      <c r="AB63">
        <v>0</v>
      </c>
      <c r="AC63">
        <v>0</v>
      </c>
      <c r="AD63">
        <v>2</v>
      </c>
      <c r="AE63" t="s">
        <v>2636</v>
      </c>
      <c r="AF63">
        <v>2</v>
      </c>
      <c r="AG63" t="s">
        <v>2763</v>
      </c>
      <c r="AH63">
        <v>0</v>
      </c>
      <c r="AI63">
        <v>0</v>
      </c>
      <c r="AJ63">
        <v>0</v>
      </c>
      <c r="AK63">
        <v>2</v>
      </c>
      <c r="AL63">
        <v>1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F63" t="s">
        <v>2641</v>
      </c>
      <c r="BG63">
        <v>4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f t="shared" si="8"/>
        <v>2</v>
      </c>
      <c r="BQ63">
        <v>0</v>
      </c>
      <c r="BR63">
        <v>0</v>
      </c>
      <c r="BV63">
        <v>0</v>
      </c>
      <c r="BW63">
        <v>0</v>
      </c>
      <c r="BY63">
        <v>0</v>
      </c>
      <c r="BZ63">
        <v>1</v>
      </c>
      <c r="CA63" s="1">
        <v>42578</v>
      </c>
      <c r="CB63">
        <f t="shared" si="0"/>
        <v>26</v>
      </c>
      <c r="CC63">
        <f t="shared" si="1"/>
        <v>0</v>
      </c>
      <c r="CD63">
        <v>1</v>
      </c>
      <c r="CE63" s="1">
        <v>42654</v>
      </c>
      <c r="CF63">
        <f t="shared" si="2"/>
        <v>102</v>
      </c>
      <c r="CG63">
        <f t="shared" si="3"/>
        <v>3</v>
      </c>
      <c r="CH63" s="1">
        <v>42654</v>
      </c>
      <c r="CI63">
        <f t="shared" si="4"/>
        <v>102</v>
      </c>
      <c r="CJ63">
        <f t="shared" si="5"/>
        <v>3</v>
      </c>
    </row>
    <row r="64" spans="1:89" x14ac:dyDescent="0.2">
      <c r="A64" t="s">
        <v>2511</v>
      </c>
      <c r="D64" s="1">
        <v>19353</v>
      </c>
      <c r="E64">
        <v>0</v>
      </c>
      <c r="F64">
        <v>0</v>
      </c>
      <c r="G64">
        <f t="shared" si="6"/>
        <v>65</v>
      </c>
      <c r="H64">
        <v>1</v>
      </c>
      <c r="I64">
        <v>24.55</v>
      </c>
      <c r="J64" s="1">
        <v>43377</v>
      </c>
      <c r="K64" s="1">
        <v>43437</v>
      </c>
      <c r="L64">
        <v>59</v>
      </c>
      <c r="M64">
        <v>1.97</v>
      </c>
      <c r="N64" t="s">
        <v>2634</v>
      </c>
      <c r="O64">
        <v>0</v>
      </c>
      <c r="P64">
        <v>2</v>
      </c>
      <c r="Q64">
        <v>3</v>
      </c>
      <c r="R64" t="s">
        <v>2635</v>
      </c>
      <c r="S64">
        <v>1</v>
      </c>
      <c r="T64">
        <v>2</v>
      </c>
      <c r="U64" t="s">
        <v>2636</v>
      </c>
      <c r="W64">
        <v>64</v>
      </c>
      <c r="X64">
        <v>23</v>
      </c>
      <c r="Y64" s="7">
        <f t="shared" si="7"/>
        <v>2.7826086956521738</v>
      </c>
      <c r="Z64">
        <v>0</v>
      </c>
      <c r="AA64">
        <v>306</v>
      </c>
      <c r="AB64">
        <v>0</v>
      </c>
      <c r="AC64">
        <v>0</v>
      </c>
      <c r="AD64">
        <v>0</v>
      </c>
      <c r="AE64">
        <v>6.7</v>
      </c>
      <c r="AF64">
        <v>0</v>
      </c>
      <c r="AG64" t="s">
        <v>2764</v>
      </c>
      <c r="AH64">
        <v>1</v>
      </c>
      <c r="AI64">
        <v>1</v>
      </c>
      <c r="AJ64">
        <v>0</v>
      </c>
      <c r="AK64">
        <v>0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</v>
      </c>
      <c r="AX64">
        <v>0</v>
      </c>
      <c r="AY64">
        <v>0</v>
      </c>
      <c r="AZ64">
        <v>0</v>
      </c>
      <c r="BA64">
        <v>0</v>
      </c>
      <c r="BB64">
        <v>0</v>
      </c>
      <c r="BC64" t="s">
        <v>2730</v>
      </c>
      <c r="BD64" t="s">
        <v>2695</v>
      </c>
      <c r="BE64" t="s">
        <v>2696</v>
      </c>
      <c r="BF64" t="s">
        <v>2670</v>
      </c>
      <c r="BG64">
        <v>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f t="shared" si="8"/>
        <v>1</v>
      </c>
      <c r="BQ64">
        <v>0</v>
      </c>
      <c r="BR64">
        <v>0</v>
      </c>
      <c r="BV64">
        <v>0</v>
      </c>
      <c r="BW64">
        <v>0</v>
      </c>
      <c r="BY64">
        <v>0</v>
      </c>
      <c r="BZ64">
        <v>1</v>
      </c>
      <c r="CA64" s="1">
        <v>43419</v>
      </c>
      <c r="CB64">
        <f t="shared" si="0"/>
        <v>42</v>
      </c>
      <c r="CC64">
        <f t="shared" si="1"/>
        <v>1</v>
      </c>
      <c r="CD64">
        <v>1</v>
      </c>
      <c r="CE64" s="1">
        <v>43999</v>
      </c>
      <c r="CF64">
        <f t="shared" si="2"/>
        <v>622</v>
      </c>
      <c r="CG64">
        <f t="shared" si="3"/>
        <v>20</v>
      </c>
      <c r="CH64" s="1">
        <v>44014</v>
      </c>
      <c r="CI64">
        <f t="shared" si="4"/>
        <v>637</v>
      </c>
      <c r="CJ64">
        <f t="shared" si="5"/>
        <v>20</v>
      </c>
    </row>
    <row r="65" spans="1:89" x14ac:dyDescent="0.2">
      <c r="A65" t="s">
        <v>2512</v>
      </c>
      <c r="D65" s="1">
        <v>19306</v>
      </c>
      <c r="E65">
        <v>1</v>
      </c>
      <c r="F65">
        <v>1</v>
      </c>
      <c r="G65">
        <f t="shared" si="6"/>
        <v>65</v>
      </c>
      <c r="H65">
        <v>1</v>
      </c>
      <c r="I65">
        <v>33.200000000000003</v>
      </c>
      <c r="J65" s="1">
        <v>43242</v>
      </c>
      <c r="K65" s="1">
        <v>43445</v>
      </c>
      <c r="L65">
        <v>199</v>
      </c>
      <c r="M65">
        <v>6.63</v>
      </c>
      <c r="N65" t="s">
        <v>2747</v>
      </c>
      <c r="O65">
        <v>0</v>
      </c>
      <c r="P65">
        <v>2</v>
      </c>
      <c r="Q65">
        <v>0</v>
      </c>
      <c r="R65" t="s">
        <v>2765</v>
      </c>
      <c r="S65">
        <v>4</v>
      </c>
      <c r="T65">
        <v>0</v>
      </c>
      <c r="U65">
        <v>0</v>
      </c>
      <c r="V65">
        <v>0</v>
      </c>
      <c r="W65">
        <v>65</v>
      </c>
      <c r="X65">
        <v>21</v>
      </c>
      <c r="Y65" s="7">
        <f t="shared" si="7"/>
        <v>3.0952380952380953</v>
      </c>
      <c r="Z65">
        <v>0</v>
      </c>
      <c r="AA65">
        <v>199</v>
      </c>
      <c r="AB65">
        <v>0</v>
      </c>
      <c r="AC65">
        <v>0</v>
      </c>
      <c r="AD65">
        <v>1</v>
      </c>
      <c r="AE65">
        <v>1.3</v>
      </c>
      <c r="AF65">
        <v>0</v>
      </c>
      <c r="AG65" t="s">
        <v>2766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1</v>
      </c>
      <c r="AY65">
        <v>0</v>
      </c>
      <c r="AZ65">
        <v>0</v>
      </c>
      <c r="BA65">
        <v>0</v>
      </c>
      <c r="BB65">
        <v>1</v>
      </c>
      <c r="BC65" t="s">
        <v>2715</v>
      </c>
      <c r="BD65" t="s">
        <v>2716</v>
      </c>
      <c r="BE65" t="s">
        <v>2767</v>
      </c>
      <c r="BF65" t="s">
        <v>2641</v>
      </c>
      <c r="BG65">
        <v>4</v>
      </c>
      <c r="BH65">
        <v>0</v>
      </c>
      <c r="BI65">
        <v>1</v>
      </c>
      <c r="BJ65">
        <v>1</v>
      </c>
      <c r="BK65">
        <v>0</v>
      </c>
      <c r="BL65">
        <v>0</v>
      </c>
      <c r="BM65">
        <v>1</v>
      </c>
      <c r="BN65">
        <v>1</v>
      </c>
      <c r="BO65">
        <v>0</v>
      </c>
      <c r="BP65">
        <f t="shared" si="8"/>
        <v>4</v>
      </c>
      <c r="BQ65">
        <v>1</v>
      </c>
      <c r="BR65">
        <v>2</v>
      </c>
      <c r="BS65" s="1">
        <v>43299</v>
      </c>
      <c r="BT65">
        <f>DATEDIF(J65,BS65,"d")</f>
        <v>57</v>
      </c>
      <c r="BU65">
        <f>DATEDIF(J65,BS65,"m")</f>
        <v>1</v>
      </c>
      <c r="BV65">
        <v>0</v>
      </c>
      <c r="BW65">
        <v>1</v>
      </c>
      <c r="BY65">
        <v>0</v>
      </c>
      <c r="BZ65">
        <v>1</v>
      </c>
      <c r="CA65" s="1">
        <v>43435</v>
      </c>
      <c r="CB65">
        <f t="shared" si="0"/>
        <v>193</v>
      </c>
      <c r="CC65">
        <f t="shared" si="1"/>
        <v>6</v>
      </c>
      <c r="CD65">
        <v>1</v>
      </c>
      <c r="CE65" s="1">
        <v>44371</v>
      </c>
      <c r="CF65">
        <f t="shared" si="2"/>
        <v>1129</v>
      </c>
      <c r="CG65">
        <f t="shared" si="3"/>
        <v>37</v>
      </c>
      <c r="CH65" s="1">
        <v>44371</v>
      </c>
      <c r="CI65">
        <f t="shared" si="4"/>
        <v>1129</v>
      </c>
      <c r="CJ65">
        <f t="shared" si="5"/>
        <v>37</v>
      </c>
    </row>
    <row r="66" spans="1:89" x14ac:dyDescent="0.2">
      <c r="A66" t="s">
        <v>2513</v>
      </c>
      <c r="D66" s="1">
        <v>18548</v>
      </c>
      <c r="E66">
        <v>0</v>
      </c>
      <c r="F66">
        <v>0</v>
      </c>
      <c r="G66">
        <f t="shared" si="6"/>
        <v>66</v>
      </c>
      <c r="H66">
        <v>1</v>
      </c>
      <c r="I66">
        <v>25.72</v>
      </c>
      <c r="J66" s="1">
        <v>43006</v>
      </c>
      <c r="K66" s="1">
        <v>43257</v>
      </c>
      <c r="L66">
        <v>248</v>
      </c>
      <c r="M66">
        <v>8.27</v>
      </c>
      <c r="N66" t="s">
        <v>2679</v>
      </c>
      <c r="O66">
        <v>1</v>
      </c>
      <c r="P66">
        <v>2</v>
      </c>
      <c r="Q66">
        <v>2</v>
      </c>
      <c r="R66" t="s">
        <v>2635</v>
      </c>
      <c r="S66">
        <v>1</v>
      </c>
      <c r="T66">
        <v>0</v>
      </c>
      <c r="U66">
        <v>0</v>
      </c>
      <c r="V66">
        <v>0</v>
      </c>
      <c r="W66">
        <v>72</v>
      </c>
      <c r="X66">
        <v>14</v>
      </c>
      <c r="Y66" s="7">
        <f t="shared" si="7"/>
        <v>5.1428571428571432</v>
      </c>
      <c r="Z66">
        <v>1</v>
      </c>
      <c r="AA66">
        <v>179</v>
      </c>
      <c r="AB66">
        <v>0</v>
      </c>
      <c r="AC66">
        <v>3</v>
      </c>
      <c r="AD66">
        <v>1</v>
      </c>
      <c r="AE66">
        <v>6.3</v>
      </c>
      <c r="AF66">
        <v>0</v>
      </c>
      <c r="AG66" t="s">
        <v>2768</v>
      </c>
      <c r="AH66">
        <v>1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1</v>
      </c>
      <c r="BA66">
        <v>1</v>
      </c>
      <c r="BB66">
        <v>1</v>
      </c>
      <c r="BC66" t="s">
        <v>2647</v>
      </c>
      <c r="BD66" t="s">
        <v>2639</v>
      </c>
      <c r="BE66" t="s">
        <v>2673</v>
      </c>
      <c r="BF66" t="s">
        <v>2641</v>
      </c>
      <c r="BG66">
        <v>4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1</v>
      </c>
      <c r="BO66">
        <v>0</v>
      </c>
      <c r="BP66">
        <f t="shared" si="8"/>
        <v>3</v>
      </c>
      <c r="BQ66">
        <v>1</v>
      </c>
      <c r="BR66">
        <v>1</v>
      </c>
      <c r="BS66" s="1">
        <v>43273</v>
      </c>
      <c r="BT66">
        <f>DATEDIF(J66,BS66,"d")</f>
        <v>267</v>
      </c>
      <c r="BU66">
        <f>DATEDIF(J66,BS66,"m")</f>
        <v>8</v>
      </c>
      <c r="BV66">
        <v>1</v>
      </c>
      <c r="BW66">
        <v>0</v>
      </c>
      <c r="BY66">
        <v>0</v>
      </c>
      <c r="BZ66">
        <v>1</v>
      </c>
      <c r="CA66" s="1">
        <v>43273</v>
      </c>
      <c r="CB66">
        <f t="shared" ref="CB66:CB104" si="9">DATEDIF(J66,CA66,"d")</f>
        <v>267</v>
      </c>
      <c r="CC66">
        <f t="shared" ref="CC66:CC104" si="10">DATEDIF(J66,CA66,"m")</f>
        <v>8</v>
      </c>
      <c r="CD66">
        <v>1</v>
      </c>
      <c r="CE66" s="1">
        <v>43925</v>
      </c>
      <c r="CF66">
        <f t="shared" ref="CF66:CF104" si="11">DATEDIF(J66,CE66,"d")</f>
        <v>919</v>
      </c>
      <c r="CG66">
        <f t="shared" ref="CG66:CG104" si="12">DATEDIF(J66,CE66,"m")</f>
        <v>30</v>
      </c>
      <c r="CH66" s="1">
        <v>43925</v>
      </c>
      <c r="CI66">
        <f t="shared" ref="CI66:CI104" si="13">DATEDIF(J66,CH66,"d")</f>
        <v>919</v>
      </c>
      <c r="CJ66">
        <f t="shared" ref="CJ66:CJ104" si="14">DATEDIF(J66,CH66,"m")</f>
        <v>30</v>
      </c>
    </row>
    <row r="67" spans="1:89" x14ac:dyDescent="0.2">
      <c r="A67" t="s">
        <v>2514</v>
      </c>
      <c r="D67" s="1">
        <v>21789</v>
      </c>
      <c r="E67">
        <v>0</v>
      </c>
      <c r="F67">
        <v>0</v>
      </c>
      <c r="G67">
        <f t="shared" ref="G67:G104" si="15">DATEDIF(D67,J67,"y")</f>
        <v>59</v>
      </c>
      <c r="H67">
        <v>1</v>
      </c>
      <c r="I67">
        <v>29.06</v>
      </c>
      <c r="J67" s="1">
        <v>43381</v>
      </c>
      <c r="K67" s="1">
        <v>43440</v>
      </c>
      <c r="L67">
        <v>58</v>
      </c>
      <c r="M67">
        <v>1.93</v>
      </c>
      <c r="N67" t="s">
        <v>2634</v>
      </c>
      <c r="O67">
        <v>0</v>
      </c>
      <c r="P67">
        <v>2</v>
      </c>
      <c r="Q67">
        <v>0</v>
      </c>
      <c r="R67" t="s">
        <v>2659</v>
      </c>
      <c r="S67">
        <v>1</v>
      </c>
      <c r="T67">
        <v>1</v>
      </c>
      <c r="U67">
        <v>1</v>
      </c>
      <c r="V67">
        <v>10</v>
      </c>
      <c r="W67">
        <v>87</v>
      </c>
      <c r="X67">
        <v>6</v>
      </c>
      <c r="Y67" s="7">
        <f t="shared" ref="Y67:Y104" si="16">W67/X67</f>
        <v>14.5</v>
      </c>
      <c r="Z67">
        <v>1</v>
      </c>
      <c r="AA67">
        <v>448</v>
      </c>
      <c r="AB67">
        <v>1</v>
      </c>
      <c r="AC67">
        <v>2</v>
      </c>
      <c r="AD67">
        <v>2</v>
      </c>
      <c r="AE67" t="s">
        <v>2636</v>
      </c>
      <c r="AF67">
        <v>2</v>
      </c>
      <c r="AG67" t="s">
        <v>2769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F67" t="s">
        <v>2641</v>
      </c>
      <c r="BG67">
        <v>4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f t="shared" si="8"/>
        <v>3</v>
      </c>
      <c r="BQ67">
        <v>0</v>
      </c>
      <c r="BR67">
        <v>0</v>
      </c>
      <c r="BV67">
        <v>0</v>
      </c>
      <c r="BW67">
        <v>0</v>
      </c>
      <c r="BY67">
        <v>0</v>
      </c>
      <c r="BZ67">
        <v>1</v>
      </c>
      <c r="CA67" s="1">
        <v>43440</v>
      </c>
      <c r="CB67">
        <f t="shared" si="9"/>
        <v>59</v>
      </c>
      <c r="CC67">
        <f t="shared" si="10"/>
        <v>1</v>
      </c>
      <c r="CD67">
        <v>1</v>
      </c>
      <c r="CE67" s="1">
        <v>43528</v>
      </c>
      <c r="CF67">
        <f t="shared" si="11"/>
        <v>147</v>
      </c>
      <c r="CG67">
        <f t="shared" si="12"/>
        <v>4</v>
      </c>
      <c r="CH67" s="1">
        <v>43528</v>
      </c>
      <c r="CI67">
        <f t="shared" si="13"/>
        <v>147</v>
      </c>
      <c r="CJ67">
        <f t="shared" si="14"/>
        <v>4</v>
      </c>
    </row>
    <row r="68" spans="1:89" x14ac:dyDescent="0.2">
      <c r="A68" t="s">
        <v>2515</v>
      </c>
      <c r="D68" s="1">
        <v>15741</v>
      </c>
      <c r="E68">
        <v>0</v>
      </c>
      <c r="F68">
        <v>0</v>
      </c>
      <c r="G68">
        <f t="shared" si="15"/>
        <v>74</v>
      </c>
      <c r="H68">
        <v>2</v>
      </c>
      <c r="I68">
        <v>21.9</v>
      </c>
      <c r="J68" s="1">
        <v>42815</v>
      </c>
      <c r="K68" s="1">
        <v>43273</v>
      </c>
      <c r="L68">
        <v>451</v>
      </c>
      <c r="M68">
        <v>15.03</v>
      </c>
      <c r="N68" t="s">
        <v>2634</v>
      </c>
      <c r="O68">
        <v>0</v>
      </c>
      <c r="P68">
        <v>2</v>
      </c>
      <c r="Q68">
        <v>0</v>
      </c>
      <c r="R68" t="s">
        <v>2659</v>
      </c>
      <c r="S68">
        <v>1</v>
      </c>
      <c r="T68">
        <v>1</v>
      </c>
      <c r="U68" t="s">
        <v>2770</v>
      </c>
      <c r="V68" s="8" t="s">
        <v>2740</v>
      </c>
      <c r="W68">
        <v>36</v>
      </c>
      <c r="X68">
        <v>50</v>
      </c>
      <c r="Y68" s="7">
        <f t="shared" si="16"/>
        <v>0.72</v>
      </c>
      <c r="Z68">
        <v>0</v>
      </c>
      <c r="AA68">
        <v>211</v>
      </c>
      <c r="AB68">
        <v>0</v>
      </c>
      <c r="AC68">
        <v>0</v>
      </c>
      <c r="AD68">
        <v>2</v>
      </c>
      <c r="AE68" t="s">
        <v>2636</v>
      </c>
      <c r="AF68">
        <v>2</v>
      </c>
      <c r="AG68" t="s">
        <v>2771</v>
      </c>
      <c r="AH68">
        <v>2</v>
      </c>
      <c r="AI68">
        <v>0</v>
      </c>
      <c r="AJ68">
        <v>0</v>
      </c>
      <c r="AK68">
        <v>0</v>
      </c>
      <c r="AL68">
        <v>2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F68" t="s">
        <v>2641</v>
      </c>
      <c r="BG68">
        <v>4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f t="shared" si="8"/>
        <v>1</v>
      </c>
      <c r="BQ68">
        <v>0</v>
      </c>
      <c r="BR68">
        <v>0</v>
      </c>
      <c r="BV68">
        <v>0</v>
      </c>
      <c r="BW68">
        <v>0</v>
      </c>
      <c r="BY68">
        <v>0</v>
      </c>
      <c r="BZ68">
        <v>0</v>
      </c>
      <c r="CA68" s="1">
        <v>43215</v>
      </c>
      <c r="CB68">
        <f t="shared" si="9"/>
        <v>400</v>
      </c>
      <c r="CC68">
        <f t="shared" si="10"/>
        <v>13</v>
      </c>
      <c r="CD68">
        <v>0</v>
      </c>
      <c r="CE68" s="1">
        <v>43273</v>
      </c>
      <c r="CF68">
        <f t="shared" si="11"/>
        <v>458</v>
      </c>
      <c r="CG68">
        <f t="shared" si="12"/>
        <v>15</v>
      </c>
      <c r="CH68" s="1">
        <v>43273</v>
      </c>
      <c r="CI68">
        <f t="shared" si="13"/>
        <v>458</v>
      </c>
      <c r="CJ68">
        <f t="shared" si="14"/>
        <v>15</v>
      </c>
      <c r="CK68" t="s">
        <v>2772</v>
      </c>
    </row>
    <row r="69" spans="1:89" x14ac:dyDescent="0.2">
      <c r="A69" t="s">
        <v>2516</v>
      </c>
      <c r="D69" s="1">
        <v>19416</v>
      </c>
      <c r="E69">
        <v>1</v>
      </c>
      <c r="F69">
        <v>1</v>
      </c>
      <c r="G69">
        <f t="shared" si="15"/>
        <v>64</v>
      </c>
      <c r="H69">
        <v>1</v>
      </c>
      <c r="I69">
        <v>29.97</v>
      </c>
      <c r="J69" s="1">
        <v>42818</v>
      </c>
      <c r="K69" s="1">
        <v>43025</v>
      </c>
      <c r="L69">
        <v>203</v>
      </c>
      <c r="M69">
        <v>6.77</v>
      </c>
      <c r="N69" t="s">
        <v>2773</v>
      </c>
      <c r="O69">
        <v>1</v>
      </c>
      <c r="P69">
        <v>2</v>
      </c>
      <c r="Q69">
        <v>2</v>
      </c>
      <c r="R69" t="s">
        <v>2635</v>
      </c>
      <c r="S69">
        <v>1</v>
      </c>
      <c r="T69">
        <v>0</v>
      </c>
      <c r="U69">
        <v>0</v>
      </c>
      <c r="W69">
        <v>82</v>
      </c>
      <c r="X69">
        <v>12</v>
      </c>
      <c r="Y69" s="7">
        <f t="shared" si="16"/>
        <v>6.833333333333333</v>
      </c>
      <c r="Z69">
        <v>1</v>
      </c>
      <c r="AA69">
        <v>259</v>
      </c>
      <c r="AB69">
        <v>0</v>
      </c>
      <c r="AC69">
        <v>3</v>
      </c>
      <c r="AD69">
        <v>2</v>
      </c>
      <c r="AE69" t="s">
        <v>2636</v>
      </c>
      <c r="AF69">
        <v>2</v>
      </c>
      <c r="AG69" t="s">
        <v>2774</v>
      </c>
      <c r="AH69">
        <v>1</v>
      </c>
      <c r="AI69">
        <v>1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F69" t="s">
        <v>2641</v>
      </c>
      <c r="BG69">
        <v>4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1</v>
      </c>
      <c r="BO69">
        <v>0</v>
      </c>
      <c r="BP69">
        <f t="shared" si="8"/>
        <v>3</v>
      </c>
      <c r="BQ69">
        <v>0</v>
      </c>
      <c r="BR69">
        <v>0</v>
      </c>
      <c r="BV69">
        <v>0</v>
      </c>
      <c r="BW69">
        <v>0</v>
      </c>
      <c r="BY69">
        <v>0</v>
      </c>
      <c r="BZ69">
        <v>1</v>
      </c>
      <c r="CA69" s="1">
        <v>43019</v>
      </c>
      <c r="CB69">
        <f t="shared" si="9"/>
        <v>201</v>
      </c>
      <c r="CC69">
        <f t="shared" si="10"/>
        <v>6</v>
      </c>
      <c r="CD69">
        <v>1</v>
      </c>
      <c r="CE69" s="1">
        <v>43244</v>
      </c>
      <c r="CF69">
        <f t="shared" si="11"/>
        <v>426</v>
      </c>
      <c r="CG69">
        <f t="shared" si="12"/>
        <v>14</v>
      </c>
      <c r="CH69" s="1">
        <v>43246</v>
      </c>
      <c r="CI69">
        <f t="shared" si="13"/>
        <v>428</v>
      </c>
      <c r="CJ69">
        <f t="shared" si="14"/>
        <v>14</v>
      </c>
    </row>
    <row r="70" spans="1:89" x14ac:dyDescent="0.2">
      <c r="A70" t="s">
        <v>2517</v>
      </c>
      <c r="D70" s="1">
        <v>15251</v>
      </c>
      <c r="E70">
        <v>1</v>
      </c>
      <c r="F70">
        <v>1</v>
      </c>
      <c r="G70">
        <f t="shared" si="15"/>
        <v>72</v>
      </c>
      <c r="H70">
        <v>2</v>
      </c>
      <c r="I70">
        <v>27.9</v>
      </c>
      <c r="J70" s="1">
        <v>41661</v>
      </c>
      <c r="K70" s="1">
        <v>41774</v>
      </c>
      <c r="L70">
        <v>113</v>
      </c>
      <c r="M70">
        <v>3.77</v>
      </c>
      <c r="N70" t="s">
        <v>2775</v>
      </c>
      <c r="O70">
        <v>0</v>
      </c>
      <c r="P70">
        <v>2</v>
      </c>
      <c r="Q70">
        <v>0</v>
      </c>
      <c r="R70" t="s">
        <v>2686</v>
      </c>
      <c r="S70">
        <v>4</v>
      </c>
      <c r="T70">
        <v>2</v>
      </c>
      <c r="U70" t="s">
        <v>2636</v>
      </c>
      <c r="W70">
        <v>71</v>
      </c>
      <c r="X70">
        <v>19</v>
      </c>
      <c r="Y70" s="7">
        <f t="shared" si="16"/>
        <v>3.736842105263158</v>
      </c>
      <c r="Z70">
        <v>0</v>
      </c>
      <c r="AA70">
        <v>362</v>
      </c>
      <c r="AB70">
        <v>0</v>
      </c>
      <c r="AC70">
        <v>3</v>
      </c>
      <c r="AD70">
        <v>2</v>
      </c>
      <c r="AE70" t="s">
        <v>2636</v>
      </c>
      <c r="AF70">
        <v>2</v>
      </c>
      <c r="AG70" t="s">
        <v>2582</v>
      </c>
      <c r="AH70">
        <v>2</v>
      </c>
      <c r="AI70">
        <v>1</v>
      </c>
      <c r="AJ70">
        <v>0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0</v>
      </c>
      <c r="AY70">
        <v>0</v>
      </c>
      <c r="AZ70">
        <v>0</v>
      </c>
      <c r="BA70">
        <v>0</v>
      </c>
      <c r="BB70">
        <v>0</v>
      </c>
      <c r="BF70" t="s">
        <v>2641</v>
      </c>
      <c r="BG70">
        <v>4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1</v>
      </c>
      <c r="BO70">
        <v>1</v>
      </c>
      <c r="BP70">
        <f t="shared" si="8"/>
        <v>4</v>
      </c>
      <c r="BQ70">
        <v>0</v>
      </c>
      <c r="BR70">
        <v>0</v>
      </c>
      <c r="BV70">
        <v>0</v>
      </c>
      <c r="BW70">
        <v>0</v>
      </c>
      <c r="BY70">
        <v>0</v>
      </c>
      <c r="BZ70">
        <v>1</v>
      </c>
      <c r="CA70" s="1">
        <v>43199</v>
      </c>
      <c r="CB70">
        <f t="shared" si="9"/>
        <v>1538</v>
      </c>
      <c r="CC70">
        <f t="shared" si="10"/>
        <v>50</v>
      </c>
      <c r="CD70">
        <v>1</v>
      </c>
      <c r="CE70" s="1">
        <v>42718</v>
      </c>
      <c r="CF70">
        <f t="shared" si="11"/>
        <v>1057</v>
      </c>
      <c r="CG70">
        <f t="shared" si="12"/>
        <v>34</v>
      </c>
      <c r="CH70" s="1">
        <v>42749</v>
      </c>
      <c r="CI70">
        <f t="shared" si="13"/>
        <v>1088</v>
      </c>
      <c r="CJ70">
        <f t="shared" si="14"/>
        <v>35</v>
      </c>
    </row>
    <row r="71" spans="1:89" x14ac:dyDescent="0.2">
      <c r="A71" t="s">
        <v>2518</v>
      </c>
      <c r="D71" s="1">
        <v>18862</v>
      </c>
      <c r="E71">
        <v>0</v>
      </c>
      <c r="F71">
        <v>0</v>
      </c>
      <c r="G71">
        <f t="shared" si="15"/>
        <v>66</v>
      </c>
      <c r="H71">
        <v>2</v>
      </c>
      <c r="I71">
        <v>24.58</v>
      </c>
      <c r="J71" s="1">
        <v>43222</v>
      </c>
      <c r="K71" s="1">
        <v>43306</v>
      </c>
      <c r="L71">
        <v>83</v>
      </c>
      <c r="M71">
        <v>2.77</v>
      </c>
      <c r="N71" t="s">
        <v>2776</v>
      </c>
      <c r="O71">
        <v>0</v>
      </c>
      <c r="P71">
        <v>2</v>
      </c>
      <c r="Q71">
        <v>0</v>
      </c>
      <c r="R71" t="s">
        <v>2777</v>
      </c>
      <c r="S71">
        <v>1</v>
      </c>
      <c r="T71">
        <v>0</v>
      </c>
      <c r="U71" t="s">
        <v>2693</v>
      </c>
      <c r="W71">
        <v>64</v>
      </c>
      <c r="X71">
        <v>19</v>
      </c>
      <c r="Y71" s="7">
        <f t="shared" si="16"/>
        <v>3.3684210526315788</v>
      </c>
      <c r="Z71">
        <v>0</v>
      </c>
      <c r="AA71">
        <v>368</v>
      </c>
      <c r="AB71">
        <v>0</v>
      </c>
      <c r="AC71">
        <v>3</v>
      </c>
      <c r="AD71">
        <v>0</v>
      </c>
      <c r="AE71">
        <v>4.2</v>
      </c>
      <c r="AF71">
        <v>0</v>
      </c>
      <c r="AG71" t="s">
        <v>2778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F71" t="s">
        <v>2641</v>
      </c>
      <c r="BG71">
        <v>4</v>
      </c>
      <c r="BH71">
        <v>1</v>
      </c>
      <c r="BI71">
        <v>1</v>
      </c>
      <c r="BJ71">
        <v>1</v>
      </c>
      <c r="BK71">
        <v>1</v>
      </c>
      <c r="BL71">
        <v>0</v>
      </c>
      <c r="BM71">
        <v>1</v>
      </c>
      <c r="BN71">
        <v>0</v>
      </c>
      <c r="BO71">
        <v>0</v>
      </c>
      <c r="BP71">
        <f t="shared" si="8"/>
        <v>5</v>
      </c>
      <c r="BQ71">
        <v>0</v>
      </c>
      <c r="BR71">
        <v>0</v>
      </c>
      <c r="BV71">
        <v>0</v>
      </c>
      <c r="BW71">
        <v>0</v>
      </c>
      <c r="BY71">
        <v>0</v>
      </c>
      <c r="BZ71">
        <v>1</v>
      </c>
      <c r="CA71" s="1">
        <v>43292</v>
      </c>
      <c r="CB71">
        <f t="shared" si="9"/>
        <v>70</v>
      </c>
      <c r="CC71">
        <f t="shared" si="10"/>
        <v>2</v>
      </c>
      <c r="CD71">
        <v>1</v>
      </c>
      <c r="CE71" s="1">
        <v>43327</v>
      </c>
      <c r="CF71">
        <f t="shared" si="11"/>
        <v>105</v>
      </c>
      <c r="CG71">
        <f t="shared" si="12"/>
        <v>3</v>
      </c>
      <c r="CH71" s="1">
        <v>43327</v>
      </c>
      <c r="CI71">
        <f t="shared" si="13"/>
        <v>105</v>
      </c>
      <c r="CJ71">
        <f t="shared" si="14"/>
        <v>3</v>
      </c>
    </row>
    <row r="72" spans="1:89" x14ac:dyDescent="0.2">
      <c r="A72" t="s">
        <v>2519</v>
      </c>
      <c r="D72" s="1">
        <v>23416</v>
      </c>
      <c r="E72">
        <v>0</v>
      </c>
      <c r="F72">
        <v>0</v>
      </c>
      <c r="G72">
        <f t="shared" si="15"/>
        <v>54</v>
      </c>
      <c r="H72">
        <v>2</v>
      </c>
      <c r="I72">
        <v>29.14</v>
      </c>
      <c r="J72" s="1">
        <v>43479</v>
      </c>
      <c r="K72" s="1">
        <v>43528</v>
      </c>
      <c r="L72">
        <v>50</v>
      </c>
      <c r="M72">
        <v>1.67</v>
      </c>
      <c r="N72" t="s">
        <v>2779</v>
      </c>
      <c r="O72">
        <v>0</v>
      </c>
      <c r="P72">
        <v>2</v>
      </c>
      <c r="Q72">
        <v>0</v>
      </c>
      <c r="R72" t="s">
        <v>2744</v>
      </c>
      <c r="S72">
        <v>4</v>
      </c>
      <c r="T72">
        <v>0</v>
      </c>
      <c r="U72" t="s">
        <v>2693</v>
      </c>
      <c r="V72" t="s">
        <v>2693</v>
      </c>
      <c r="W72">
        <v>86</v>
      </c>
      <c r="X72">
        <v>4</v>
      </c>
      <c r="Y72" s="7">
        <f t="shared" si="16"/>
        <v>21.5</v>
      </c>
      <c r="Z72">
        <v>1</v>
      </c>
      <c r="AA72">
        <v>186</v>
      </c>
      <c r="AB72">
        <v>0</v>
      </c>
      <c r="AC72">
        <v>3</v>
      </c>
      <c r="AD72">
        <v>2</v>
      </c>
      <c r="AE72">
        <v>3.8</v>
      </c>
      <c r="AF72">
        <v>0</v>
      </c>
      <c r="AG72" t="s">
        <v>2780</v>
      </c>
      <c r="AH72">
        <v>1</v>
      </c>
      <c r="AI72">
        <v>2</v>
      </c>
      <c r="AJ72">
        <v>2</v>
      </c>
      <c r="AK72">
        <v>1</v>
      </c>
      <c r="AL72">
        <v>2</v>
      </c>
      <c r="AM72">
        <v>0</v>
      </c>
      <c r="AN72">
        <v>0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F72" t="s">
        <v>2641</v>
      </c>
      <c r="BG72">
        <v>4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f t="shared" si="8"/>
        <v>2</v>
      </c>
      <c r="BQ72">
        <v>1</v>
      </c>
      <c r="BR72">
        <v>1</v>
      </c>
      <c r="BS72" s="1">
        <v>43677</v>
      </c>
      <c r="BT72">
        <f>DATEDIF(J72,BS72,"d")</f>
        <v>198</v>
      </c>
      <c r="BU72">
        <f>DATEDIF(J72,BS72,"m")</f>
        <v>6</v>
      </c>
      <c r="BV72">
        <v>1</v>
      </c>
      <c r="BW72">
        <v>0</v>
      </c>
      <c r="BY72">
        <v>0</v>
      </c>
      <c r="BZ72">
        <v>1</v>
      </c>
      <c r="CA72" s="1">
        <v>43528</v>
      </c>
      <c r="CB72">
        <f t="shared" si="9"/>
        <v>49</v>
      </c>
      <c r="CC72">
        <f t="shared" si="10"/>
        <v>1</v>
      </c>
      <c r="CD72">
        <v>1</v>
      </c>
      <c r="CE72" s="1">
        <v>43682</v>
      </c>
      <c r="CF72">
        <f t="shared" si="11"/>
        <v>203</v>
      </c>
      <c r="CG72">
        <f t="shared" si="12"/>
        <v>6</v>
      </c>
      <c r="CH72" s="1">
        <v>43682</v>
      </c>
      <c r="CI72">
        <f t="shared" si="13"/>
        <v>203</v>
      </c>
      <c r="CJ72">
        <f t="shared" si="14"/>
        <v>6</v>
      </c>
    </row>
    <row r="73" spans="1:89" x14ac:dyDescent="0.2">
      <c r="A73" t="s">
        <v>2520</v>
      </c>
      <c r="D73" s="1">
        <v>17987</v>
      </c>
      <c r="E73">
        <v>1</v>
      </c>
      <c r="F73">
        <v>1</v>
      </c>
      <c r="G73">
        <f t="shared" si="15"/>
        <v>65</v>
      </c>
      <c r="H73">
        <v>1</v>
      </c>
      <c r="I73">
        <v>22.17</v>
      </c>
      <c r="J73" s="1">
        <v>42045</v>
      </c>
      <c r="K73" s="1">
        <v>42901</v>
      </c>
      <c r="L73">
        <v>845</v>
      </c>
      <c r="M73">
        <v>28.17</v>
      </c>
      <c r="N73" t="s">
        <v>2634</v>
      </c>
      <c r="O73">
        <v>0</v>
      </c>
      <c r="P73">
        <v>2</v>
      </c>
      <c r="Q73">
        <v>0</v>
      </c>
      <c r="R73" t="s">
        <v>2659</v>
      </c>
      <c r="S73">
        <v>1</v>
      </c>
      <c r="T73">
        <v>1</v>
      </c>
      <c r="U73" t="s">
        <v>2781</v>
      </c>
      <c r="W73">
        <v>61</v>
      </c>
      <c r="X73">
        <v>28</v>
      </c>
      <c r="Y73" s="7">
        <f t="shared" si="16"/>
        <v>2.1785714285714284</v>
      </c>
      <c r="Z73">
        <v>0</v>
      </c>
      <c r="AA73">
        <v>466</v>
      </c>
      <c r="AB73">
        <v>1</v>
      </c>
      <c r="AC73">
        <v>3</v>
      </c>
      <c r="AD73">
        <v>2</v>
      </c>
      <c r="AE73" t="s">
        <v>2636</v>
      </c>
      <c r="AF73">
        <v>2</v>
      </c>
      <c r="AG73" t="s">
        <v>2782</v>
      </c>
      <c r="AH73">
        <v>2</v>
      </c>
      <c r="AI73">
        <v>1</v>
      </c>
      <c r="AJ73">
        <v>0</v>
      </c>
      <c r="AK73">
        <v>0</v>
      </c>
      <c r="AL73">
        <v>2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1</v>
      </c>
      <c r="BF73" t="s">
        <v>2641</v>
      </c>
      <c r="BG73">
        <v>4</v>
      </c>
      <c r="BH73">
        <v>1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1</v>
      </c>
      <c r="BO73">
        <v>0</v>
      </c>
      <c r="BP73">
        <f t="shared" si="8"/>
        <v>4</v>
      </c>
      <c r="BQ73">
        <v>0</v>
      </c>
      <c r="BR73">
        <v>0</v>
      </c>
      <c r="BV73">
        <v>0</v>
      </c>
      <c r="BW73">
        <v>0</v>
      </c>
      <c r="BY73">
        <v>0</v>
      </c>
      <c r="BZ73">
        <v>0</v>
      </c>
      <c r="CA73" s="1">
        <v>45686</v>
      </c>
      <c r="CB73">
        <f t="shared" si="9"/>
        <v>3641</v>
      </c>
      <c r="CC73">
        <f t="shared" si="10"/>
        <v>119</v>
      </c>
      <c r="CD73">
        <v>0</v>
      </c>
      <c r="CE73" s="1">
        <v>45686</v>
      </c>
      <c r="CF73">
        <f t="shared" si="11"/>
        <v>3641</v>
      </c>
      <c r="CG73">
        <f t="shared" si="12"/>
        <v>119</v>
      </c>
      <c r="CH73" s="1">
        <v>45686</v>
      </c>
      <c r="CI73">
        <f t="shared" si="13"/>
        <v>3641</v>
      </c>
      <c r="CJ73">
        <f t="shared" si="14"/>
        <v>119</v>
      </c>
    </row>
    <row r="74" spans="1:89" x14ac:dyDescent="0.2">
      <c r="A74" t="s">
        <v>2521</v>
      </c>
      <c r="D74" s="1">
        <v>14729</v>
      </c>
      <c r="E74">
        <v>1</v>
      </c>
      <c r="F74">
        <v>1</v>
      </c>
      <c r="G74">
        <f t="shared" si="15"/>
        <v>76</v>
      </c>
      <c r="H74">
        <v>1</v>
      </c>
      <c r="I74">
        <v>24.6</v>
      </c>
      <c r="J74" s="1">
        <v>42712</v>
      </c>
      <c r="K74" s="1">
        <v>43048</v>
      </c>
      <c r="L74">
        <v>331</v>
      </c>
      <c r="M74">
        <v>11.03</v>
      </c>
      <c r="N74" t="s">
        <v>2699</v>
      </c>
      <c r="O74">
        <v>0</v>
      </c>
      <c r="P74">
        <v>1</v>
      </c>
      <c r="Q74">
        <v>1</v>
      </c>
      <c r="R74" t="s">
        <v>2635</v>
      </c>
      <c r="S74">
        <v>1</v>
      </c>
      <c r="T74">
        <v>0</v>
      </c>
      <c r="U74">
        <v>0</v>
      </c>
      <c r="V74">
        <v>0</v>
      </c>
      <c r="W74">
        <v>63</v>
      </c>
      <c r="X74">
        <v>19</v>
      </c>
      <c r="Y74" s="7">
        <f t="shared" si="16"/>
        <v>3.3157894736842106</v>
      </c>
      <c r="Z74">
        <v>0</v>
      </c>
      <c r="AA74">
        <v>207</v>
      </c>
      <c r="AB74">
        <v>0</v>
      </c>
      <c r="AC74">
        <v>3</v>
      </c>
      <c r="AD74">
        <v>2</v>
      </c>
      <c r="AE74" t="s">
        <v>2636</v>
      </c>
      <c r="AF74">
        <v>2</v>
      </c>
      <c r="AG74" t="s">
        <v>2783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1</v>
      </c>
      <c r="BF74" t="s">
        <v>2641</v>
      </c>
      <c r="BG74">
        <v>4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0</v>
      </c>
      <c r="BP74">
        <f t="shared" si="8"/>
        <v>5</v>
      </c>
      <c r="BQ74">
        <v>0</v>
      </c>
      <c r="BR74">
        <v>0</v>
      </c>
      <c r="BV74">
        <v>0</v>
      </c>
      <c r="BW74">
        <v>0</v>
      </c>
      <c r="BY74">
        <v>1</v>
      </c>
      <c r="BZ74">
        <v>1</v>
      </c>
      <c r="CA74" s="1">
        <v>42955</v>
      </c>
      <c r="CB74">
        <f t="shared" si="9"/>
        <v>243</v>
      </c>
      <c r="CC74">
        <f t="shared" si="10"/>
        <v>8</v>
      </c>
      <c r="CD74">
        <v>1</v>
      </c>
      <c r="CE74" s="1">
        <v>43070</v>
      </c>
      <c r="CF74">
        <f t="shared" si="11"/>
        <v>358</v>
      </c>
      <c r="CG74">
        <f t="shared" si="12"/>
        <v>11</v>
      </c>
      <c r="CH74" s="1">
        <v>43099</v>
      </c>
      <c r="CI74">
        <f t="shared" si="13"/>
        <v>387</v>
      </c>
      <c r="CJ74">
        <f t="shared" si="14"/>
        <v>12</v>
      </c>
    </row>
    <row r="75" spans="1:89" x14ac:dyDescent="0.2">
      <c r="A75" t="s">
        <v>2522</v>
      </c>
      <c r="D75" s="1">
        <v>17975</v>
      </c>
      <c r="E75">
        <v>0</v>
      </c>
      <c r="F75">
        <v>1</v>
      </c>
      <c r="G75">
        <f t="shared" si="15"/>
        <v>65</v>
      </c>
      <c r="H75">
        <v>1</v>
      </c>
      <c r="I75">
        <v>28.29</v>
      </c>
      <c r="J75" s="1">
        <v>41870</v>
      </c>
      <c r="K75" s="1">
        <v>42872</v>
      </c>
      <c r="L75">
        <v>988</v>
      </c>
      <c r="M75">
        <v>32.93</v>
      </c>
      <c r="N75" t="s">
        <v>2735</v>
      </c>
      <c r="O75">
        <v>0</v>
      </c>
      <c r="P75">
        <v>1</v>
      </c>
      <c r="Q75">
        <v>0</v>
      </c>
      <c r="R75" t="s">
        <v>2688</v>
      </c>
      <c r="S75">
        <v>2</v>
      </c>
      <c r="T75">
        <v>0</v>
      </c>
      <c r="U75">
        <v>0</v>
      </c>
      <c r="W75">
        <v>69</v>
      </c>
      <c r="X75">
        <v>18</v>
      </c>
      <c r="Y75" s="7">
        <f t="shared" si="16"/>
        <v>3.8333333333333335</v>
      </c>
      <c r="Z75">
        <v>0</v>
      </c>
      <c r="AA75">
        <v>293</v>
      </c>
      <c r="AB75">
        <v>0</v>
      </c>
      <c r="AC75">
        <v>2</v>
      </c>
      <c r="AD75">
        <v>2</v>
      </c>
      <c r="AE75" t="s">
        <v>2636</v>
      </c>
      <c r="AF75">
        <v>2</v>
      </c>
      <c r="AG75" t="s">
        <v>2784</v>
      </c>
      <c r="AH75">
        <v>1</v>
      </c>
      <c r="AI75">
        <v>0</v>
      </c>
      <c r="AJ75">
        <v>1</v>
      </c>
      <c r="AK75">
        <v>0</v>
      </c>
      <c r="AL75">
        <v>2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F75" t="s">
        <v>2641</v>
      </c>
      <c r="BG75">
        <v>4</v>
      </c>
      <c r="BH75">
        <v>1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1</v>
      </c>
      <c r="BO75">
        <v>0</v>
      </c>
      <c r="BP75">
        <f t="shared" si="8"/>
        <v>4</v>
      </c>
      <c r="BQ75">
        <v>0</v>
      </c>
      <c r="BR75">
        <v>0</v>
      </c>
      <c r="BV75">
        <v>0</v>
      </c>
      <c r="BW75">
        <v>0</v>
      </c>
      <c r="BY75">
        <v>0</v>
      </c>
      <c r="BZ75">
        <v>1</v>
      </c>
      <c r="CA75" s="1">
        <v>42788</v>
      </c>
      <c r="CB75">
        <f t="shared" si="9"/>
        <v>918</v>
      </c>
      <c r="CC75">
        <f t="shared" si="10"/>
        <v>30</v>
      </c>
      <c r="CD75">
        <v>1</v>
      </c>
      <c r="CE75" s="1">
        <v>42948</v>
      </c>
      <c r="CF75">
        <f t="shared" si="11"/>
        <v>1078</v>
      </c>
      <c r="CG75">
        <f t="shared" si="12"/>
        <v>35</v>
      </c>
      <c r="CH75" s="1">
        <v>43005</v>
      </c>
      <c r="CI75">
        <f t="shared" si="13"/>
        <v>1135</v>
      </c>
      <c r="CJ75">
        <f t="shared" si="14"/>
        <v>37</v>
      </c>
    </row>
    <row r="76" spans="1:89" x14ac:dyDescent="0.2">
      <c r="A76" t="s">
        <v>2523</v>
      </c>
      <c r="D76" s="1">
        <v>23267</v>
      </c>
      <c r="E76">
        <v>0</v>
      </c>
      <c r="F76">
        <v>0</v>
      </c>
      <c r="G76">
        <f t="shared" si="15"/>
        <v>54</v>
      </c>
      <c r="H76">
        <v>1</v>
      </c>
      <c r="I76">
        <v>22.89</v>
      </c>
      <c r="J76" s="1">
        <v>43145</v>
      </c>
      <c r="K76" s="1">
        <v>43264</v>
      </c>
      <c r="L76">
        <v>119</v>
      </c>
      <c r="M76">
        <v>3.97</v>
      </c>
      <c r="N76" t="s">
        <v>2699</v>
      </c>
      <c r="O76">
        <v>0</v>
      </c>
      <c r="P76">
        <v>2</v>
      </c>
      <c r="Q76">
        <v>0</v>
      </c>
      <c r="R76" t="s">
        <v>2688</v>
      </c>
      <c r="S76">
        <v>2</v>
      </c>
      <c r="T76">
        <v>0</v>
      </c>
      <c r="U76">
        <v>0</v>
      </c>
      <c r="V76">
        <v>0</v>
      </c>
      <c r="W76">
        <v>74</v>
      </c>
      <c r="X76">
        <v>11</v>
      </c>
      <c r="Y76" s="7">
        <f t="shared" si="16"/>
        <v>6.7272727272727275</v>
      </c>
      <c r="Z76">
        <v>1</v>
      </c>
      <c r="AA76">
        <v>309</v>
      </c>
      <c r="AB76">
        <v>0</v>
      </c>
      <c r="AC76">
        <v>3</v>
      </c>
      <c r="AD76">
        <v>2</v>
      </c>
      <c r="AE76">
        <v>1.347</v>
      </c>
      <c r="AF76">
        <v>0</v>
      </c>
      <c r="AG76" t="s">
        <v>2785</v>
      </c>
      <c r="AH76">
        <v>1</v>
      </c>
      <c r="AI76">
        <v>2</v>
      </c>
      <c r="AJ76">
        <v>2</v>
      </c>
      <c r="AK76">
        <v>1</v>
      </c>
      <c r="AL76">
        <v>2</v>
      </c>
      <c r="AM76">
        <v>0</v>
      </c>
      <c r="AN76">
        <v>0</v>
      </c>
      <c r="AO76">
        <v>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0</v>
      </c>
      <c r="BF76" t="s">
        <v>2641</v>
      </c>
      <c r="BG76">
        <v>4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0</v>
      </c>
      <c r="BN76">
        <v>1</v>
      </c>
      <c r="BO76">
        <v>0</v>
      </c>
      <c r="BP76">
        <f t="shared" si="8"/>
        <v>3</v>
      </c>
      <c r="BQ76">
        <v>0</v>
      </c>
      <c r="BR76">
        <v>0</v>
      </c>
      <c r="BV76">
        <v>0</v>
      </c>
      <c r="BW76">
        <v>0</v>
      </c>
      <c r="BY76">
        <v>0</v>
      </c>
      <c r="BZ76">
        <v>1</v>
      </c>
      <c r="CA76" s="1">
        <v>43278</v>
      </c>
      <c r="CB76">
        <f t="shared" si="9"/>
        <v>133</v>
      </c>
      <c r="CC76">
        <f t="shared" si="10"/>
        <v>4</v>
      </c>
      <c r="CD76">
        <v>1</v>
      </c>
      <c r="CE76" s="1">
        <v>43278</v>
      </c>
      <c r="CF76">
        <f t="shared" si="11"/>
        <v>133</v>
      </c>
      <c r="CG76">
        <f t="shared" si="12"/>
        <v>4</v>
      </c>
      <c r="CH76" s="1">
        <v>43289</v>
      </c>
      <c r="CI76">
        <f t="shared" si="13"/>
        <v>144</v>
      </c>
      <c r="CJ76">
        <f t="shared" si="14"/>
        <v>4</v>
      </c>
    </row>
    <row r="77" spans="1:89" x14ac:dyDescent="0.2">
      <c r="A77" t="s">
        <v>2524</v>
      </c>
      <c r="D77" s="1">
        <v>17922</v>
      </c>
      <c r="E77">
        <v>1</v>
      </c>
      <c r="F77">
        <v>1</v>
      </c>
      <c r="G77">
        <f t="shared" si="15"/>
        <v>68</v>
      </c>
      <c r="H77">
        <v>2</v>
      </c>
      <c r="I77">
        <v>30.74</v>
      </c>
      <c r="J77" s="1">
        <v>42996</v>
      </c>
      <c r="K77" s="1">
        <v>43360</v>
      </c>
      <c r="L77">
        <v>359</v>
      </c>
      <c r="M77">
        <v>11.97</v>
      </c>
      <c r="N77" t="s">
        <v>2699</v>
      </c>
      <c r="O77">
        <v>0</v>
      </c>
      <c r="P77">
        <v>3</v>
      </c>
      <c r="Q77">
        <v>2</v>
      </c>
      <c r="R77" t="s">
        <v>2635</v>
      </c>
      <c r="S77">
        <v>1</v>
      </c>
      <c r="T77">
        <v>0</v>
      </c>
      <c r="U77">
        <v>0</v>
      </c>
      <c r="V77">
        <v>0</v>
      </c>
      <c r="W77">
        <v>75</v>
      </c>
      <c r="X77">
        <v>17</v>
      </c>
      <c r="Y77" s="7">
        <f t="shared" si="16"/>
        <v>4.4117647058823533</v>
      </c>
      <c r="Z77">
        <v>1</v>
      </c>
      <c r="AA77">
        <v>230</v>
      </c>
      <c r="AB77">
        <v>0</v>
      </c>
      <c r="AC77">
        <v>0</v>
      </c>
      <c r="AD77">
        <v>0</v>
      </c>
      <c r="AE77" t="s">
        <v>2636</v>
      </c>
      <c r="AF77">
        <v>2</v>
      </c>
      <c r="AG77" t="s">
        <v>2786</v>
      </c>
      <c r="AH77">
        <v>1</v>
      </c>
      <c r="AI77">
        <v>1</v>
      </c>
      <c r="AJ77">
        <v>0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 t="s">
        <v>2650</v>
      </c>
      <c r="BD77" t="s">
        <v>2695</v>
      </c>
      <c r="BE77" t="s">
        <v>2640</v>
      </c>
      <c r="BF77" t="s">
        <v>2641</v>
      </c>
      <c r="BG77">
        <v>4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f t="shared" ref="BP77:BP105" si="17">SUM(BH77:BO77)</f>
        <v>1</v>
      </c>
      <c r="BQ77">
        <v>0</v>
      </c>
      <c r="BR77">
        <v>0</v>
      </c>
      <c r="BV77">
        <v>0</v>
      </c>
      <c r="BW77">
        <v>0</v>
      </c>
      <c r="BY77">
        <v>0</v>
      </c>
      <c r="BZ77">
        <v>1</v>
      </c>
      <c r="CA77" s="1">
        <v>43374</v>
      </c>
      <c r="CB77">
        <f t="shared" si="9"/>
        <v>378</v>
      </c>
      <c r="CC77">
        <f t="shared" si="10"/>
        <v>12</v>
      </c>
      <c r="CD77">
        <v>1</v>
      </c>
      <c r="CE77" s="1">
        <v>43723</v>
      </c>
      <c r="CF77">
        <f t="shared" si="11"/>
        <v>727</v>
      </c>
      <c r="CG77">
        <f t="shared" si="12"/>
        <v>23</v>
      </c>
      <c r="CH77" s="1">
        <v>43723</v>
      </c>
      <c r="CI77">
        <f t="shared" si="13"/>
        <v>727</v>
      </c>
      <c r="CJ77">
        <f t="shared" si="14"/>
        <v>23</v>
      </c>
    </row>
    <row r="78" spans="1:89" x14ac:dyDescent="0.2">
      <c r="A78" t="s">
        <v>2525</v>
      </c>
      <c r="D78" s="1">
        <v>23259</v>
      </c>
      <c r="E78">
        <v>1</v>
      </c>
      <c r="F78">
        <v>1</v>
      </c>
      <c r="G78">
        <f t="shared" si="15"/>
        <v>53</v>
      </c>
      <c r="H78">
        <v>1</v>
      </c>
      <c r="I78">
        <v>19.75</v>
      </c>
      <c r="J78" s="1">
        <v>42929</v>
      </c>
      <c r="K78" s="1">
        <v>44613</v>
      </c>
      <c r="L78">
        <v>1658</v>
      </c>
      <c r="M78">
        <v>55.27</v>
      </c>
      <c r="N78" t="s">
        <v>2634</v>
      </c>
      <c r="O78">
        <v>0</v>
      </c>
      <c r="P78">
        <v>1</v>
      </c>
      <c r="Q78">
        <v>2</v>
      </c>
      <c r="R78" t="s">
        <v>2787</v>
      </c>
      <c r="S78">
        <v>4</v>
      </c>
      <c r="T78">
        <v>1</v>
      </c>
      <c r="U78">
        <v>90</v>
      </c>
      <c r="W78">
        <v>79</v>
      </c>
      <c r="X78">
        <v>14</v>
      </c>
      <c r="Y78" s="7">
        <f t="shared" si="16"/>
        <v>5.6428571428571432</v>
      </c>
      <c r="Z78">
        <v>1</v>
      </c>
      <c r="AA78">
        <v>354</v>
      </c>
      <c r="AB78">
        <v>0</v>
      </c>
      <c r="AC78">
        <v>0</v>
      </c>
      <c r="AD78">
        <v>0</v>
      </c>
      <c r="AE78">
        <v>17</v>
      </c>
      <c r="AF78">
        <v>1</v>
      </c>
      <c r="AG78" t="s">
        <v>2788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0</v>
      </c>
      <c r="BA78">
        <v>0</v>
      </c>
      <c r="BB78">
        <v>0</v>
      </c>
      <c r="BC78" t="s">
        <v>2644</v>
      </c>
      <c r="BD78" t="s">
        <v>2695</v>
      </c>
      <c r="BE78" t="s">
        <v>2640</v>
      </c>
      <c r="BF78" t="s">
        <v>2641</v>
      </c>
      <c r="BG78">
        <v>4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1</v>
      </c>
      <c r="BO78">
        <v>0</v>
      </c>
      <c r="BP78">
        <f t="shared" si="17"/>
        <v>3</v>
      </c>
      <c r="BQ78">
        <v>0</v>
      </c>
      <c r="BR78">
        <v>0</v>
      </c>
      <c r="BV78">
        <v>0</v>
      </c>
      <c r="BW78">
        <v>0</v>
      </c>
      <c r="BY78">
        <v>1</v>
      </c>
      <c r="BZ78">
        <v>1</v>
      </c>
      <c r="CA78" s="1">
        <v>44358</v>
      </c>
      <c r="CB78">
        <f t="shared" si="9"/>
        <v>1429</v>
      </c>
      <c r="CC78">
        <f t="shared" si="10"/>
        <v>46</v>
      </c>
      <c r="CD78">
        <v>1</v>
      </c>
      <c r="CE78" s="1">
        <v>44615</v>
      </c>
      <c r="CF78">
        <f t="shared" si="11"/>
        <v>1686</v>
      </c>
      <c r="CG78">
        <f t="shared" si="12"/>
        <v>55</v>
      </c>
      <c r="CH78" s="1">
        <v>44615</v>
      </c>
      <c r="CI78">
        <f t="shared" si="13"/>
        <v>1686</v>
      </c>
      <c r="CJ78">
        <f t="shared" si="14"/>
        <v>55</v>
      </c>
    </row>
    <row r="79" spans="1:89" x14ac:dyDescent="0.2">
      <c r="A79" t="s">
        <v>2526</v>
      </c>
      <c r="D79" s="1">
        <v>19007</v>
      </c>
      <c r="E79">
        <v>0</v>
      </c>
      <c r="F79">
        <v>0</v>
      </c>
      <c r="G79">
        <f t="shared" si="15"/>
        <v>65</v>
      </c>
      <c r="H79">
        <v>1</v>
      </c>
      <c r="I79">
        <v>32.22</v>
      </c>
      <c r="J79" s="1">
        <v>43018</v>
      </c>
      <c r="K79" s="1">
        <v>43109</v>
      </c>
      <c r="L79">
        <v>89</v>
      </c>
      <c r="M79">
        <v>2.97</v>
      </c>
      <c r="N79" t="s">
        <v>2789</v>
      </c>
      <c r="O79">
        <v>0</v>
      </c>
      <c r="P79">
        <v>2</v>
      </c>
      <c r="Q79">
        <v>0</v>
      </c>
      <c r="R79" t="s">
        <v>2659</v>
      </c>
      <c r="S79">
        <v>1</v>
      </c>
      <c r="T79">
        <v>0</v>
      </c>
      <c r="U79">
        <v>0</v>
      </c>
      <c r="V79">
        <v>0</v>
      </c>
      <c r="W79">
        <v>87</v>
      </c>
      <c r="X79">
        <v>9</v>
      </c>
      <c r="Y79" s="7">
        <f t="shared" si="16"/>
        <v>9.6666666666666661</v>
      </c>
      <c r="Z79">
        <v>1</v>
      </c>
      <c r="AA79">
        <v>278</v>
      </c>
      <c r="AB79">
        <v>0</v>
      </c>
      <c r="AC79">
        <v>0</v>
      </c>
      <c r="AD79">
        <v>2</v>
      </c>
      <c r="AE79" t="s">
        <v>2636</v>
      </c>
      <c r="AF79">
        <v>2</v>
      </c>
      <c r="AG79" t="s">
        <v>2790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0</v>
      </c>
      <c r="BB79">
        <v>1</v>
      </c>
      <c r="BC79" t="s">
        <v>2791</v>
      </c>
      <c r="BD79" t="s">
        <v>2792</v>
      </c>
      <c r="BE79" t="s">
        <v>2640</v>
      </c>
      <c r="BF79" t="s">
        <v>2641</v>
      </c>
      <c r="BG79">
        <v>4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f t="shared" si="17"/>
        <v>1</v>
      </c>
      <c r="BQ79">
        <v>0</v>
      </c>
      <c r="BR79">
        <v>0</v>
      </c>
      <c r="BV79">
        <v>0</v>
      </c>
      <c r="BW79">
        <v>0</v>
      </c>
      <c r="BY79">
        <v>0</v>
      </c>
      <c r="BZ79">
        <v>1</v>
      </c>
      <c r="CA79" s="1">
        <v>43109</v>
      </c>
      <c r="CB79">
        <f t="shared" si="9"/>
        <v>91</v>
      </c>
      <c r="CC79">
        <f t="shared" si="10"/>
        <v>2</v>
      </c>
      <c r="CD79">
        <v>1</v>
      </c>
      <c r="CE79" s="1">
        <v>43486</v>
      </c>
      <c r="CF79">
        <f t="shared" si="11"/>
        <v>468</v>
      </c>
      <c r="CG79">
        <f t="shared" si="12"/>
        <v>15</v>
      </c>
      <c r="CH79" s="1">
        <v>43509</v>
      </c>
      <c r="CI79">
        <f t="shared" si="13"/>
        <v>491</v>
      </c>
      <c r="CJ79">
        <f t="shared" si="14"/>
        <v>16</v>
      </c>
      <c r="CK79" t="s">
        <v>2793</v>
      </c>
    </row>
    <row r="80" spans="1:89" x14ac:dyDescent="0.2">
      <c r="A80" t="s">
        <v>2527</v>
      </c>
      <c r="D80" s="1">
        <v>19798</v>
      </c>
      <c r="E80">
        <v>1</v>
      </c>
      <c r="F80">
        <v>1</v>
      </c>
      <c r="G80">
        <f t="shared" si="15"/>
        <v>63</v>
      </c>
      <c r="H80">
        <v>2</v>
      </c>
      <c r="I80">
        <v>24.33</v>
      </c>
      <c r="J80" s="1">
        <v>42937</v>
      </c>
      <c r="K80" s="1">
        <v>43321</v>
      </c>
      <c r="L80">
        <v>378</v>
      </c>
      <c r="M80">
        <v>12.6</v>
      </c>
      <c r="N80" t="s">
        <v>2794</v>
      </c>
      <c r="O80">
        <v>1</v>
      </c>
      <c r="P80">
        <v>2</v>
      </c>
      <c r="Q80">
        <v>0</v>
      </c>
      <c r="R80" t="s">
        <v>2635</v>
      </c>
      <c r="S80">
        <v>1</v>
      </c>
      <c r="T80">
        <v>1</v>
      </c>
      <c r="U80">
        <v>5</v>
      </c>
      <c r="W80">
        <v>87</v>
      </c>
      <c r="X80">
        <v>7</v>
      </c>
      <c r="Y80" s="7">
        <f t="shared" si="16"/>
        <v>12.428571428571429</v>
      </c>
      <c r="Z80">
        <v>1</v>
      </c>
      <c r="AA80">
        <v>387</v>
      </c>
      <c r="AB80">
        <v>0</v>
      </c>
      <c r="AC80">
        <v>3</v>
      </c>
      <c r="AD80">
        <v>0</v>
      </c>
      <c r="AE80">
        <v>2.9</v>
      </c>
      <c r="AF80">
        <v>0</v>
      </c>
      <c r="AG80" t="s">
        <v>2795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 t="s">
        <v>2650</v>
      </c>
      <c r="BD80" t="s">
        <v>2695</v>
      </c>
      <c r="BE80" t="s">
        <v>2678</v>
      </c>
      <c r="BF80" t="s">
        <v>2641</v>
      </c>
      <c r="BG80">
        <v>4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f t="shared" si="17"/>
        <v>2</v>
      </c>
      <c r="BQ80">
        <v>0</v>
      </c>
      <c r="BR80">
        <v>0</v>
      </c>
      <c r="BV80">
        <v>0</v>
      </c>
      <c r="BW80">
        <v>0</v>
      </c>
      <c r="BY80">
        <v>0</v>
      </c>
      <c r="BZ80">
        <v>1</v>
      </c>
      <c r="CA80" s="1">
        <v>45756</v>
      </c>
      <c r="CB80">
        <f t="shared" si="9"/>
        <v>2819</v>
      </c>
      <c r="CC80">
        <f t="shared" si="10"/>
        <v>92</v>
      </c>
      <c r="CD80">
        <v>0</v>
      </c>
      <c r="CE80" s="1">
        <v>45756</v>
      </c>
      <c r="CF80">
        <f t="shared" si="11"/>
        <v>2819</v>
      </c>
      <c r="CG80">
        <f t="shared" si="12"/>
        <v>92</v>
      </c>
      <c r="CH80" s="1">
        <v>45756</v>
      </c>
      <c r="CI80">
        <f t="shared" si="13"/>
        <v>2819</v>
      </c>
      <c r="CJ80">
        <f t="shared" si="14"/>
        <v>92</v>
      </c>
    </row>
    <row r="81" spans="1:89" x14ac:dyDescent="0.2">
      <c r="A81" t="s">
        <v>2528</v>
      </c>
      <c r="D81" s="1">
        <v>21134</v>
      </c>
      <c r="E81">
        <v>1</v>
      </c>
      <c r="F81">
        <v>1</v>
      </c>
      <c r="G81">
        <f t="shared" si="15"/>
        <v>62</v>
      </c>
      <c r="H81">
        <v>2</v>
      </c>
      <c r="I81">
        <v>24.02</v>
      </c>
      <c r="J81" s="1">
        <v>43978</v>
      </c>
      <c r="K81" s="1">
        <v>44256</v>
      </c>
      <c r="L81">
        <v>274</v>
      </c>
      <c r="M81">
        <v>9.1300000000000008</v>
      </c>
      <c r="N81" t="s">
        <v>2634</v>
      </c>
      <c r="O81">
        <v>0</v>
      </c>
      <c r="P81">
        <v>1</v>
      </c>
      <c r="Q81">
        <v>0</v>
      </c>
      <c r="R81" t="s">
        <v>2659</v>
      </c>
      <c r="S81">
        <v>1</v>
      </c>
      <c r="T81">
        <v>1</v>
      </c>
      <c r="U81">
        <v>20</v>
      </c>
      <c r="W81">
        <v>62</v>
      </c>
      <c r="X81">
        <v>25</v>
      </c>
      <c r="Y81" s="7">
        <f t="shared" si="16"/>
        <v>2.48</v>
      </c>
      <c r="Z81">
        <v>0</v>
      </c>
      <c r="AA81">
        <v>217</v>
      </c>
      <c r="AB81">
        <v>0</v>
      </c>
      <c r="AC81">
        <v>2</v>
      </c>
      <c r="AD81">
        <v>0</v>
      </c>
      <c r="AE81">
        <v>14.16</v>
      </c>
      <c r="AF81">
        <v>1</v>
      </c>
      <c r="AG81" t="s">
        <v>2796</v>
      </c>
      <c r="AH81">
        <v>2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 t="s">
        <v>2644</v>
      </c>
      <c r="BD81" t="s">
        <v>2792</v>
      </c>
      <c r="BE81" t="s">
        <v>2673</v>
      </c>
      <c r="BF81" t="s">
        <v>2641</v>
      </c>
      <c r="BG81">
        <v>4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0</v>
      </c>
      <c r="BP81">
        <f t="shared" si="17"/>
        <v>2</v>
      </c>
      <c r="BQ81">
        <v>0</v>
      </c>
      <c r="BR81">
        <v>0</v>
      </c>
      <c r="BV81">
        <v>0</v>
      </c>
      <c r="BW81">
        <v>0</v>
      </c>
      <c r="BY81">
        <v>0</v>
      </c>
      <c r="BZ81">
        <v>1</v>
      </c>
      <c r="CA81" s="1">
        <v>44349</v>
      </c>
      <c r="CB81">
        <f t="shared" si="9"/>
        <v>371</v>
      </c>
      <c r="CC81">
        <f t="shared" si="10"/>
        <v>12</v>
      </c>
      <c r="CD81">
        <v>1</v>
      </c>
      <c r="CE81" s="1">
        <v>44636</v>
      </c>
      <c r="CF81">
        <f t="shared" si="11"/>
        <v>658</v>
      </c>
      <c r="CG81">
        <f t="shared" si="12"/>
        <v>21</v>
      </c>
      <c r="CH81" s="1">
        <v>44636</v>
      </c>
      <c r="CI81">
        <f t="shared" si="13"/>
        <v>658</v>
      </c>
      <c r="CJ81">
        <f t="shared" si="14"/>
        <v>21</v>
      </c>
    </row>
    <row r="82" spans="1:89" x14ac:dyDescent="0.2">
      <c r="A82" t="s">
        <v>2529</v>
      </c>
      <c r="D82" s="1">
        <v>20113</v>
      </c>
      <c r="E82">
        <v>0</v>
      </c>
      <c r="F82">
        <v>0</v>
      </c>
      <c r="G82">
        <f t="shared" si="15"/>
        <v>60</v>
      </c>
      <c r="H82">
        <v>2</v>
      </c>
      <c r="I82">
        <v>25.45</v>
      </c>
      <c r="J82" s="1">
        <v>42223</v>
      </c>
      <c r="K82" s="1">
        <v>42250</v>
      </c>
      <c r="L82">
        <v>26</v>
      </c>
      <c r="M82">
        <v>0.87</v>
      </c>
      <c r="N82" t="s">
        <v>2699</v>
      </c>
      <c r="O82">
        <v>0</v>
      </c>
      <c r="P82">
        <v>2</v>
      </c>
      <c r="Q82">
        <v>0</v>
      </c>
      <c r="R82" t="s">
        <v>2659</v>
      </c>
      <c r="S82">
        <v>1</v>
      </c>
      <c r="T82">
        <v>2</v>
      </c>
      <c r="U82" t="s">
        <v>2636</v>
      </c>
      <c r="W82">
        <v>73</v>
      </c>
      <c r="X82">
        <v>15</v>
      </c>
      <c r="Y82" s="7">
        <f t="shared" si="16"/>
        <v>4.8666666666666663</v>
      </c>
      <c r="Z82">
        <v>1</v>
      </c>
      <c r="AA82">
        <v>465</v>
      </c>
      <c r="AB82">
        <v>1</v>
      </c>
      <c r="AC82">
        <v>3</v>
      </c>
      <c r="AD82">
        <v>2</v>
      </c>
      <c r="AE82" t="s">
        <v>2636</v>
      </c>
      <c r="AF82">
        <v>2</v>
      </c>
      <c r="AG82" t="s">
        <v>2797</v>
      </c>
      <c r="AH82">
        <v>2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1</v>
      </c>
      <c r="BC82" t="s">
        <v>2647</v>
      </c>
      <c r="BD82" t="s">
        <v>2639</v>
      </c>
      <c r="BE82" t="s">
        <v>2640</v>
      </c>
      <c r="BF82" t="s">
        <v>2641</v>
      </c>
      <c r="BG82">
        <v>4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f t="shared" si="17"/>
        <v>3</v>
      </c>
      <c r="BQ82">
        <v>0</v>
      </c>
      <c r="BR82">
        <v>0</v>
      </c>
      <c r="BV82">
        <v>0</v>
      </c>
      <c r="BW82">
        <v>0</v>
      </c>
      <c r="BY82">
        <v>0</v>
      </c>
      <c r="BZ82">
        <v>1</v>
      </c>
      <c r="CA82" s="1">
        <v>42285</v>
      </c>
      <c r="CB82">
        <f t="shared" si="9"/>
        <v>62</v>
      </c>
      <c r="CC82">
        <f t="shared" si="10"/>
        <v>2</v>
      </c>
      <c r="CD82">
        <v>1</v>
      </c>
      <c r="CE82" s="1">
        <v>42299</v>
      </c>
      <c r="CF82">
        <f t="shared" si="11"/>
        <v>76</v>
      </c>
      <c r="CG82">
        <f t="shared" si="12"/>
        <v>2</v>
      </c>
      <c r="CH82" s="1">
        <v>42311</v>
      </c>
      <c r="CI82">
        <f t="shared" si="13"/>
        <v>88</v>
      </c>
      <c r="CJ82">
        <f t="shared" si="14"/>
        <v>2</v>
      </c>
    </row>
    <row r="83" spans="1:89" x14ac:dyDescent="0.2">
      <c r="A83" t="s">
        <v>2530</v>
      </c>
      <c r="D83" s="1">
        <v>10970</v>
      </c>
      <c r="E83">
        <v>1</v>
      </c>
      <c r="F83">
        <v>1</v>
      </c>
      <c r="G83">
        <f t="shared" si="15"/>
        <v>84</v>
      </c>
      <c r="H83">
        <v>2</v>
      </c>
      <c r="I83">
        <v>28.27</v>
      </c>
      <c r="J83" s="1">
        <v>42003</v>
      </c>
      <c r="K83" s="1">
        <v>42242</v>
      </c>
      <c r="L83">
        <v>236</v>
      </c>
      <c r="M83">
        <v>7.87</v>
      </c>
      <c r="N83" t="s">
        <v>2634</v>
      </c>
      <c r="O83">
        <v>0</v>
      </c>
      <c r="P83">
        <v>2</v>
      </c>
      <c r="Q83">
        <v>0</v>
      </c>
      <c r="R83" t="s">
        <v>2659</v>
      </c>
      <c r="S83">
        <v>1</v>
      </c>
      <c r="T83">
        <v>0</v>
      </c>
      <c r="U83">
        <v>0</v>
      </c>
      <c r="W83">
        <v>71</v>
      </c>
      <c r="X83">
        <v>9</v>
      </c>
      <c r="Y83" s="7">
        <f t="shared" si="16"/>
        <v>7.8888888888888893</v>
      </c>
      <c r="Z83">
        <v>1</v>
      </c>
      <c r="AA83">
        <v>303</v>
      </c>
      <c r="AB83">
        <v>0</v>
      </c>
      <c r="AC83">
        <v>3</v>
      </c>
      <c r="AD83">
        <v>2</v>
      </c>
      <c r="AE83" t="s">
        <v>2636</v>
      </c>
      <c r="AF83">
        <v>2</v>
      </c>
      <c r="AG83" t="s">
        <v>2708</v>
      </c>
      <c r="AH83">
        <v>2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1</v>
      </c>
      <c r="BC83" t="s">
        <v>2798</v>
      </c>
      <c r="BD83" t="s">
        <v>2695</v>
      </c>
      <c r="BE83" t="s">
        <v>2678</v>
      </c>
      <c r="BF83" t="s">
        <v>2670</v>
      </c>
      <c r="BG83">
        <v>4</v>
      </c>
      <c r="BH83">
        <v>0</v>
      </c>
      <c r="BI83">
        <v>1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f t="shared" si="17"/>
        <v>2</v>
      </c>
      <c r="BQ83">
        <v>1</v>
      </c>
      <c r="BR83">
        <v>1</v>
      </c>
      <c r="BS83" s="1">
        <v>42073</v>
      </c>
      <c r="BT83">
        <f>DATEDIF(J83,BS83,"d")</f>
        <v>70</v>
      </c>
      <c r="BU83">
        <f>DATEDIF(J83,BS83,"m")</f>
        <v>2</v>
      </c>
      <c r="BV83">
        <v>1</v>
      </c>
      <c r="BW83">
        <v>0</v>
      </c>
      <c r="BY83">
        <v>0</v>
      </c>
      <c r="BZ83">
        <v>1</v>
      </c>
      <c r="CA83" s="1">
        <v>42240</v>
      </c>
      <c r="CB83">
        <f t="shared" si="9"/>
        <v>237</v>
      </c>
      <c r="CC83">
        <f t="shared" si="10"/>
        <v>7</v>
      </c>
      <c r="CD83">
        <v>1</v>
      </c>
      <c r="CE83" s="1">
        <v>42241</v>
      </c>
      <c r="CF83">
        <f t="shared" si="11"/>
        <v>238</v>
      </c>
      <c r="CG83">
        <f t="shared" si="12"/>
        <v>7</v>
      </c>
      <c r="CH83" s="1">
        <v>42288</v>
      </c>
      <c r="CI83">
        <f t="shared" si="13"/>
        <v>285</v>
      </c>
      <c r="CJ83">
        <f t="shared" si="14"/>
        <v>9</v>
      </c>
    </row>
    <row r="84" spans="1:89" x14ac:dyDescent="0.2">
      <c r="A84" t="s">
        <v>2531</v>
      </c>
      <c r="D84" s="1">
        <v>18315</v>
      </c>
      <c r="E84">
        <v>0</v>
      </c>
      <c r="F84">
        <v>1</v>
      </c>
      <c r="G84">
        <f t="shared" si="15"/>
        <v>69</v>
      </c>
      <c r="H84">
        <v>2</v>
      </c>
      <c r="I84">
        <v>25.99</v>
      </c>
      <c r="J84" s="1">
        <v>43630</v>
      </c>
      <c r="K84" s="1">
        <v>43889</v>
      </c>
      <c r="L84">
        <v>254</v>
      </c>
      <c r="M84">
        <v>8.4700000000000006</v>
      </c>
      <c r="N84" t="s">
        <v>2799</v>
      </c>
      <c r="O84">
        <v>1</v>
      </c>
      <c r="P84">
        <v>2</v>
      </c>
      <c r="Q84">
        <v>1</v>
      </c>
      <c r="R84" t="s">
        <v>2800</v>
      </c>
      <c r="S84">
        <v>1</v>
      </c>
      <c r="T84">
        <v>2</v>
      </c>
      <c r="U84" t="s">
        <v>2636</v>
      </c>
      <c r="W84">
        <v>73</v>
      </c>
      <c r="X84">
        <v>11</v>
      </c>
      <c r="Y84" s="7">
        <f t="shared" si="16"/>
        <v>6.6363636363636367</v>
      </c>
      <c r="Z84">
        <v>1</v>
      </c>
      <c r="AA84">
        <v>279</v>
      </c>
      <c r="AB84">
        <v>0</v>
      </c>
      <c r="AC84">
        <v>2</v>
      </c>
      <c r="AD84">
        <v>0</v>
      </c>
      <c r="AE84">
        <v>8.6</v>
      </c>
      <c r="AF84">
        <v>1</v>
      </c>
      <c r="AG84" t="s">
        <v>2801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 t="s">
        <v>2647</v>
      </c>
      <c r="BD84" t="s">
        <v>2639</v>
      </c>
      <c r="BE84" t="s">
        <v>2696</v>
      </c>
      <c r="BF84" t="s">
        <v>2670</v>
      </c>
      <c r="BG84">
        <v>4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f t="shared" si="17"/>
        <v>1</v>
      </c>
      <c r="BQ84">
        <v>0</v>
      </c>
      <c r="BR84">
        <v>0</v>
      </c>
      <c r="BV84">
        <v>0</v>
      </c>
      <c r="BW84">
        <v>0</v>
      </c>
      <c r="BY84">
        <v>0</v>
      </c>
      <c r="BZ84">
        <v>1</v>
      </c>
      <c r="CA84" s="1">
        <v>43843</v>
      </c>
      <c r="CB84">
        <f t="shared" si="9"/>
        <v>213</v>
      </c>
      <c r="CC84">
        <f t="shared" si="10"/>
        <v>6</v>
      </c>
      <c r="CD84">
        <v>1</v>
      </c>
      <c r="CE84" s="1">
        <v>45287</v>
      </c>
      <c r="CF84">
        <f t="shared" si="11"/>
        <v>1657</v>
      </c>
      <c r="CG84">
        <f t="shared" si="12"/>
        <v>54</v>
      </c>
      <c r="CH84" s="1">
        <v>45291</v>
      </c>
      <c r="CI84">
        <f t="shared" si="13"/>
        <v>1661</v>
      </c>
      <c r="CJ84">
        <f t="shared" si="14"/>
        <v>54</v>
      </c>
    </row>
    <row r="85" spans="1:89" x14ac:dyDescent="0.2">
      <c r="A85" t="s">
        <v>2532</v>
      </c>
      <c r="D85" s="1">
        <v>17691</v>
      </c>
      <c r="E85">
        <v>0</v>
      </c>
      <c r="F85">
        <v>0</v>
      </c>
      <c r="G85">
        <f t="shared" si="15"/>
        <v>69</v>
      </c>
      <c r="H85">
        <v>2</v>
      </c>
      <c r="I85">
        <v>31.61</v>
      </c>
      <c r="J85" s="1">
        <v>43214</v>
      </c>
      <c r="K85" s="1">
        <v>43376</v>
      </c>
      <c r="L85">
        <v>159</v>
      </c>
      <c r="M85">
        <v>5.3</v>
      </c>
      <c r="N85" t="s">
        <v>2799</v>
      </c>
      <c r="O85">
        <v>1</v>
      </c>
      <c r="P85">
        <v>2</v>
      </c>
      <c r="Q85">
        <v>1</v>
      </c>
      <c r="R85" t="s">
        <v>2800</v>
      </c>
      <c r="S85">
        <v>1</v>
      </c>
      <c r="T85">
        <v>0</v>
      </c>
      <c r="U85" t="s">
        <v>2693</v>
      </c>
      <c r="V85">
        <v>0</v>
      </c>
      <c r="W85">
        <v>86</v>
      </c>
      <c r="X85">
        <v>6</v>
      </c>
      <c r="Y85" s="7">
        <f t="shared" si="16"/>
        <v>14.333333333333334</v>
      </c>
      <c r="Z85">
        <v>1</v>
      </c>
      <c r="AA85">
        <v>341</v>
      </c>
      <c r="AB85">
        <v>0</v>
      </c>
      <c r="AC85">
        <v>3</v>
      </c>
      <c r="AD85">
        <v>2</v>
      </c>
      <c r="AE85" t="s">
        <v>2636</v>
      </c>
      <c r="AF85">
        <v>2</v>
      </c>
      <c r="AG85" t="s">
        <v>2708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</v>
      </c>
      <c r="BC85" t="s">
        <v>2730</v>
      </c>
      <c r="BD85" t="s">
        <v>2658</v>
      </c>
      <c r="BE85" t="s">
        <v>2696</v>
      </c>
      <c r="BF85" t="s">
        <v>2641</v>
      </c>
      <c r="BG85">
        <v>4</v>
      </c>
      <c r="BH85">
        <v>1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f t="shared" si="17"/>
        <v>3</v>
      </c>
      <c r="BQ85">
        <v>1</v>
      </c>
      <c r="BR85">
        <v>2</v>
      </c>
      <c r="BS85" s="1">
        <v>43318</v>
      </c>
      <c r="BT85">
        <f>DATEDIF(J85,BS85,"d")</f>
        <v>104</v>
      </c>
      <c r="BU85">
        <f>DATEDIF(J85,BS85,"m")</f>
        <v>3</v>
      </c>
      <c r="BV85">
        <v>0</v>
      </c>
      <c r="BW85">
        <v>1</v>
      </c>
      <c r="BY85">
        <v>1</v>
      </c>
      <c r="BZ85">
        <v>1</v>
      </c>
      <c r="CA85" s="1">
        <v>43335</v>
      </c>
      <c r="CB85">
        <f t="shared" si="9"/>
        <v>121</v>
      </c>
      <c r="CC85">
        <f t="shared" si="10"/>
        <v>3</v>
      </c>
      <c r="CD85">
        <v>1</v>
      </c>
      <c r="CE85" s="1">
        <v>43376</v>
      </c>
      <c r="CF85">
        <f t="shared" si="11"/>
        <v>162</v>
      </c>
      <c r="CG85">
        <f t="shared" si="12"/>
        <v>5</v>
      </c>
      <c r="CH85" s="1">
        <v>43377</v>
      </c>
      <c r="CI85">
        <f t="shared" si="13"/>
        <v>163</v>
      </c>
      <c r="CJ85">
        <f t="shared" si="14"/>
        <v>5</v>
      </c>
    </row>
    <row r="86" spans="1:89" x14ac:dyDescent="0.2">
      <c r="A86" t="s">
        <v>2533</v>
      </c>
      <c r="D86" s="1">
        <v>24246</v>
      </c>
      <c r="E86">
        <v>1</v>
      </c>
      <c r="F86">
        <v>1</v>
      </c>
      <c r="G86">
        <f t="shared" si="15"/>
        <v>52</v>
      </c>
      <c r="H86">
        <v>1</v>
      </c>
      <c r="I86">
        <v>32.049999999999997</v>
      </c>
      <c r="J86" s="1">
        <v>43272</v>
      </c>
      <c r="K86" s="1">
        <v>43685</v>
      </c>
      <c r="L86">
        <v>407</v>
      </c>
      <c r="M86">
        <v>13.57</v>
      </c>
      <c r="N86" t="s">
        <v>2802</v>
      </c>
      <c r="O86">
        <v>1</v>
      </c>
      <c r="P86">
        <v>1</v>
      </c>
      <c r="Q86">
        <v>2</v>
      </c>
      <c r="R86" t="s">
        <v>2800</v>
      </c>
      <c r="S86">
        <v>1</v>
      </c>
      <c r="T86">
        <v>0</v>
      </c>
      <c r="U86">
        <v>0</v>
      </c>
      <c r="W86">
        <v>75</v>
      </c>
      <c r="X86">
        <v>12</v>
      </c>
      <c r="Y86" s="7">
        <f t="shared" si="16"/>
        <v>6.25</v>
      </c>
      <c r="Z86">
        <v>1</v>
      </c>
      <c r="AA86">
        <v>301</v>
      </c>
      <c r="AB86">
        <v>0</v>
      </c>
      <c r="AC86">
        <v>3</v>
      </c>
      <c r="AD86">
        <v>2</v>
      </c>
      <c r="AE86">
        <v>0.8</v>
      </c>
      <c r="AF86">
        <v>0</v>
      </c>
      <c r="AG86" t="s">
        <v>2803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 t="s">
        <v>2804</v>
      </c>
      <c r="BD86" t="s">
        <v>2639</v>
      </c>
      <c r="BE86" t="s">
        <v>2696</v>
      </c>
      <c r="BF86" t="s">
        <v>2670</v>
      </c>
      <c r="BG86">
        <v>4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f t="shared" si="17"/>
        <v>1</v>
      </c>
      <c r="BQ86">
        <v>0</v>
      </c>
      <c r="BR86">
        <v>0</v>
      </c>
      <c r="BV86">
        <v>0</v>
      </c>
      <c r="BW86">
        <v>0</v>
      </c>
      <c r="BY86">
        <v>1</v>
      </c>
      <c r="BZ86">
        <v>1</v>
      </c>
      <c r="CA86" s="1">
        <v>43661</v>
      </c>
      <c r="CB86">
        <f t="shared" si="9"/>
        <v>389</v>
      </c>
      <c r="CC86">
        <f t="shared" si="10"/>
        <v>12</v>
      </c>
      <c r="CD86">
        <v>1</v>
      </c>
      <c r="CE86" s="1">
        <v>43698</v>
      </c>
      <c r="CF86">
        <f t="shared" si="11"/>
        <v>426</v>
      </c>
      <c r="CG86">
        <f t="shared" si="12"/>
        <v>14</v>
      </c>
      <c r="CH86" s="1">
        <v>43714</v>
      </c>
      <c r="CI86">
        <f t="shared" si="13"/>
        <v>442</v>
      </c>
      <c r="CJ86">
        <f t="shared" si="14"/>
        <v>14</v>
      </c>
    </row>
    <row r="87" spans="1:89" x14ac:dyDescent="0.2">
      <c r="A87" t="s">
        <v>2534</v>
      </c>
      <c r="D87" s="1">
        <v>22606</v>
      </c>
      <c r="E87">
        <v>1</v>
      </c>
      <c r="F87">
        <v>1</v>
      </c>
      <c r="G87">
        <f t="shared" si="15"/>
        <v>56</v>
      </c>
      <c r="H87">
        <v>1</v>
      </c>
      <c r="I87">
        <v>38.630000000000003</v>
      </c>
      <c r="J87" s="1">
        <v>43223</v>
      </c>
      <c r="K87" s="1">
        <v>43336</v>
      </c>
      <c r="L87">
        <v>111</v>
      </c>
      <c r="M87">
        <v>3.7</v>
      </c>
      <c r="N87" t="s">
        <v>2799</v>
      </c>
      <c r="O87">
        <v>1</v>
      </c>
      <c r="P87">
        <v>2</v>
      </c>
      <c r="Q87">
        <v>0</v>
      </c>
      <c r="R87" t="s">
        <v>2800</v>
      </c>
      <c r="S87">
        <v>1</v>
      </c>
      <c r="T87">
        <v>0</v>
      </c>
      <c r="U87">
        <v>0</v>
      </c>
      <c r="V87">
        <v>0</v>
      </c>
      <c r="W87">
        <v>86</v>
      </c>
      <c r="X87">
        <v>9</v>
      </c>
      <c r="Y87" s="7">
        <f t="shared" si="16"/>
        <v>9.5555555555555554</v>
      </c>
      <c r="Z87">
        <v>1</v>
      </c>
      <c r="AA87">
        <v>241</v>
      </c>
      <c r="AB87">
        <v>0</v>
      </c>
      <c r="AC87">
        <v>3</v>
      </c>
      <c r="AD87">
        <v>2</v>
      </c>
      <c r="AE87" t="s">
        <v>2636</v>
      </c>
      <c r="AF87">
        <v>2</v>
      </c>
      <c r="AG87" t="s">
        <v>2805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 t="s">
        <v>2647</v>
      </c>
      <c r="BD87" t="s">
        <v>2792</v>
      </c>
      <c r="BE87" t="s">
        <v>2640</v>
      </c>
      <c r="BF87" t="s">
        <v>2641</v>
      </c>
      <c r="BG87">
        <v>4</v>
      </c>
      <c r="BH87">
        <v>0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f t="shared" si="17"/>
        <v>2</v>
      </c>
      <c r="BQ87">
        <v>0</v>
      </c>
      <c r="BR87">
        <v>0</v>
      </c>
      <c r="BV87">
        <v>0</v>
      </c>
      <c r="BW87">
        <v>0</v>
      </c>
      <c r="BY87">
        <v>0</v>
      </c>
      <c r="BZ87">
        <v>1</v>
      </c>
      <c r="CA87" s="1">
        <v>43671</v>
      </c>
      <c r="CB87">
        <f t="shared" si="9"/>
        <v>448</v>
      </c>
      <c r="CC87">
        <f t="shared" si="10"/>
        <v>14</v>
      </c>
      <c r="CD87" s="10">
        <v>0</v>
      </c>
      <c r="CE87" s="1">
        <v>43749</v>
      </c>
      <c r="CF87">
        <f t="shared" si="11"/>
        <v>526</v>
      </c>
      <c r="CG87">
        <f t="shared" si="12"/>
        <v>17</v>
      </c>
      <c r="CH87" s="1">
        <v>43749</v>
      </c>
      <c r="CI87">
        <f t="shared" si="13"/>
        <v>526</v>
      </c>
      <c r="CJ87">
        <f t="shared" si="14"/>
        <v>17</v>
      </c>
      <c r="CK87" t="s">
        <v>2806</v>
      </c>
    </row>
    <row r="88" spans="1:89" x14ac:dyDescent="0.2">
      <c r="A88" t="s">
        <v>2535</v>
      </c>
      <c r="D88" s="1">
        <v>15981</v>
      </c>
      <c r="E88">
        <v>0</v>
      </c>
      <c r="F88">
        <v>0</v>
      </c>
      <c r="G88">
        <f t="shared" si="15"/>
        <v>74</v>
      </c>
      <c r="H88">
        <v>2</v>
      </c>
      <c r="I88">
        <v>28.48</v>
      </c>
      <c r="J88" s="1">
        <v>43220</v>
      </c>
      <c r="K88" s="1">
        <v>43350</v>
      </c>
      <c r="L88">
        <v>127</v>
      </c>
      <c r="M88">
        <v>4.2300000000000004</v>
      </c>
      <c r="N88" t="s">
        <v>2634</v>
      </c>
      <c r="O88">
        <v>0</v>
      </c>
      <c r="P88">
        <v>2</v>
      </c>
      <c r="Q88">
        <v>2</v>
      </c>
      <c r="R88" t="s">
        <v>2686</v>
      </c>
      <c r="S88">
        <v>4</v>
      </c>
      <c r="T88">
        <v>1</v>
      </c>
      <c r="U88">
        <v>10</v>
      </c>
      <c r="V88">
        <v>0</v>
      </c>
      <c r="W88">
        <v>78</v>
      </c>
      <c r="X88">
        <v>12</v>
      </c>
      <c r="Y88" s="7">
        <f t="shared" si="16"/>
        <v>6.5</v>
      </c>
      <c r="Z88">
        <v>1</v>
      </c>
      <c r="AA88">
        <v>362</v>
      </c>
      <c r="AB88">
        <v>0</v>
      </c>
      <c r="AC88">
        <v>2</v>
      </c>
      <c r="AD88">
        <v>2</v>
      </c>
      <c r="AE88">
        <v>6.7</v>
      </c>
      <c r="AF88">
        <v>0</v>
      </c>
      <c r="AG88" t="s">
        <v>2807</v>
      </c>
      <c r="AH88">
        <v>1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F88" t="s">
        <v>2663</v>
      </c>
      <c r="BG88">
        <v>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f t="shared" si="17"/>
        <v>0</v>
      </c>
      <c r="BQ88">
        <v>0</v>
      </c>
      <c r="BR88">
        <v>0</v>
      </c>
      <c r="BV88">
        <v>0</v>
      </c>
      <c r="BW88">
        <v>0</v>
      </c>
      <c r="BY88">
        <v>1</v>
      </c>
      <c r="BZ88">
        <v>1</v>
      </c>
      <c r="CA88" s="1">
        <v>43352</v>
      </c>
      <c r="CB88">
        <f t="shared" si="9"/>
        <v>132</v>
      </c>
      <c r="CC88">
        <f t="shared" si="10"/>
        <v>4</v>
      </c>
      <c r="CD88">
        <v>1</v>
      </c>
      <c r="CE88" s="1">
        <v>43350</v>
      </c>
      <c r="CF88">
        <f t="shared" si="11"/>
        <v>130</v>
      </c>
      <c r="CG88">
        <f t="shared" si="12"/>
        <v>4</v>
      </c>
      <c r="CH88" s="1">
        <v>43381</v>
      </c>
      <c r="CI88">
        <f t="shared" si="13"/>
        <v>161</v>
      </c>
      <c r="CJ88">
        <f t="shared" si="14"/>
        <v>5</v>
      </c>
    </row>
    <row r="89" spans="1:89" x14ac:dyDescent="0.2">
      <c r="A89" t="s">
        <v>2536</v>
      </c>
      <c r="D89" s="1">
        <v>19157</v>
      </c>
      <c r="E89">
        <v>1</v>
      </c>
      <c r="F89">
        <v>1</v>
      </c>
      <c r="G89">
        <f t="shared" si="15"/>
        <v>67</v>
      </c>
      <c r="H89">
        <v>1</v>
      </c>
      <c r="I89">
        <v>23.83</v>
      </c>
      <c r="J89" s="1">
        <v>43838</v>
      </c>
      <c r="K89" s="1">
        <v>44914</v>
      </c>
      <c r="L89">
        <v>1061</v>
      </c>
      <c r="M89">
        <v>35.369999999999997</v>
      </c>
      <c r="N89" t="s">
        <v>2634</v>
      </c>
      <c r="O89">
        <v>0</v>
      </c>
      <c r="P89">
        <v>3</v>
      </c>
      <c r="Q89">
        <v>1</v>
      </c>
      <c r="R89" t="s">
        <v>2800</v>
      </c>
      <c r="S89">
        <v>1</v>
      </c>
      <c r="T89">
        <v>1</v>
      </c>
      <c r="U89">
        <v>90</v>
      </c>
      <c r="W89">
        <v>64</v>
      </c>
      <c r="X89">
        <v>23</v>
      </c>
      <c r="Y89" s="7">
        <f t="shared" si="16"/>
        <v>2.7826086956521738</v>
      </c>
      <c r="Z89">
        <v>0</v>
      </c>
      <c r="AA89">
        <v>345</v>
      </c>
      <c r="AB89">
        <v>0</v>
      </c>
      <c r="AC89">
        <v>3</v>
      </c>
      <c r="AD89">
        <v>0</v>
      </c>
      <c r="AE89" t="s">
        <v>2636</v>
      </c>
      <c r="AF89">
        <v>2</v>
      </c>
      <c r="AG89" t="s">
        <v>2808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F89" t="s">
        <v>2641</v>
      </c>
      <c r="BG89">
        <v>4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1</v>
      </c>
      <c r="BP89">
        <f t="shared" si="17"/>
        <v>4</v>
      </c>
      <c r="BQ89">
        <v>1</v>
      </c>
      <c r="BR89">
        <v>2</v>
      </c>
      <c r="BS89" s="1">
        <v>43857</v>
      </c>
      <c r="BT89">
        <f>DATEDIF(J89,BS89,"d")</f>
        <v>19</v>
      </c>
      <c r="BU89">
        <f>DATEDIF(J89,BS89,"m")</f>
        <v>0</v>
      </c>
      <c r="BV89">
        <v>0</v>
      </c>
      <c r="BW89">
        <v>1</v>
      </c>
      <c r="BY89">
        <v>0</v>
      </c>
      <c r="BZ89">
        <v>0</v>
      </c>
      <c r="CA89" s="1">
        <v>45187</v>
      </c>
      <c r="CB89">
        <f t="shared" si="9"/>
        <v>1349</v>
      </c>
      <c r="CC89">
        <f t="shared" si="10"/>
        <v>44</v>
      </c>
      <c r="CD89">
        <v>0</v>
      </c>
      <c r="CE89" s="1">
        <v>45726</v>
      </c>
      <c r="CF89">
        <f t="shared" si="11"/>
        <v>1888</v>
      </c>
      <c r="CG89">
        <f t="shared" si="12"/>
        <v>62</v>
      </c>
      <c r="CH89" s="1">
        <v>45726</v>
      </c>
      <c r="CI89">
        <f t="shared" si="13"/>
        <v>1888</v>
      </c>
      <c r="CJ89">
        <f t="shared" si="14"/>
        <v>62</v>
      </c>
      <c r="CK89" t="s">
        <v>2809</v>
      </c>
    </row>
    <row r="90" spans="1:89" x14ac:dyDescent="0.2">
      <c r="A90" t="s">
        <v>2537</v>
      </c>
      <c r="D90" s="1">
        <v>19114</v>
      </c>
      <c r="E90">
        <v>1</v>
      </c>
      <c r="F90">
        <v>1</v>
      </c>
      <c r="G90">
        <f t="shared" si="15"/>
        <v>70</v>
      </c>
      <c r="H90">
        <v>1</v>
      </c>
      <c r="I90">
        <v>20.38</v>
      </c>
      <c r="J90" s="1">
        <v>44687</v>
      </c>
      <c r="K90" s="1">
        <v>45023</v>
      </c>
      <c r="L90">
        <v>331</v>
      </c>
      <c r="M90">
        <v>11.03</v>
      </c>
      <c r="N90" t="s">
        <v>2810</v>
      </c>
      <c r="O90">
        <v>1</v>
      </c>
      <c r="P90">
        <v>1</v>
      </c>
      <c r="Q90">
        <v>0</v>
      </c>
      <c r="R90" t="s">
        <v>2800</v>
      </c>
      <c r="S90">
        <v>1</v>
      </c>
      <c r="T90">
        <v>0</v>
      </c>
      <c r="U90">
        <v>0</v>
      </c>
      <c r="W90">
        <v>89</v>
      </c>
      <c r="X90">
        <v>6.6</v>
      </c>
      <c r="Y90" s="7">
        <f t="shared" si="16"/>
        <v>13.484848484848486</v>
      </c>
      <c r="Z90">
        <v>1</v>
      </c>
      <c r="AA90">
        <v>289</v>
      </c>
      <c r="AB90">
        <v>0</v>
      </c>
      <c r="AC90">
        <v>3</v>
      </c>
      <c r="AD90">
        <v>0</v>
      </c>
      <c r="AE90">
        <v>9.84</v>
      </c>
      <c r="AF90">
        <v>1</v>
      </c>
      <c r="AG90" t="s">
        <v>2811</v>
      </c>
      <c r="AH90">
        <v>1</v>
      </c>
      <c r="AI90">
        <v>0</v>
      </c>
      <c r="AJ90">
        <v>1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 t="s">
        <v>2647</v>
      </c>
      <c r="BD90" t="s">
        <v>2695</v>
      </c>
      <c r="BE90" t="s">
        <v>2696</v>
      </c>
      <c r="BF90" t="s">
        <v>2670</v>
      </c>
      <c r="BG90">
        <v>4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0</v>
      </c>
      <c r="BP90">
        <f t="shared" si="17"/>
        <v>4</v>
      </c>
      <c r="BQ90">
        <v>0</v>
      </c>
      <c r="BR90">
        <v>0</v>
      </c>
      <c r="BV90">
        <v>0</v>
      </c>
      <c r="BW90">
        <v>0</v>
      </c>
      <c r="BY90">
        <v>0</v>
      </c>
      <c r="BZ90">
        <v>1</v>
      </c>
      <c r="CA90" s="1">
        <v>45020</v>
      </c>
      <c r="CB90">
        <f t="shared" si="9"/>
        <v>333</v>
      </c>
      <c r="CC90">
        <f t="shared" si="10"/>
        <v>10</v>
      </c>
      <c r="CD90">
        <v>1</v>
      </c>
      <c r="CE90" s="1">
        <v>45148</v>
      </c>
      <c r="CF90">
        <f t="shared" si="11"/>
        <v>461</v>
      </c>
      <c r="CG90">
        <f t="shared" si="12"/>
        <v>15</v>
      </c>
      <c r="CH90" s="1">
        <v>45192</v>
      </c>
      <c r="CI90">
        <f t="shared" si="13"/>
        <v>505</v>
      </c>
      <c r="CJ90">
        <f t="shared" si="14"/>
        <v>16</v>
      </c>
    </row>
    <row r="91" spans="1:89" x14ac:dyDescent="0.2">
      <c r="A91" t="s">
        <v>2538</v>
      </c>
      <c r="D91" s="1">
        <v>14402</v>
      </c>
      <c r="E91">
        <v>1</v>
      </c>
      <c r="F91">
        <v>1</v>
      </c>
      <c r="G91">
        <f t="shared" si="15"/>
        <v>81</v>
      </c>
      <c r="H91">
        <v>2</v>
      </c>
      <c r="I91">
        <v>22.43</v>
      </c>
      <c r="J91" s="1">
        <v>44281</v>
      </c>
      <c r="K91" s="1">
        <v>44491</v>
      </c>
      <c r="L91">
        <v>206</v>
      </c>
      <c r="M91">
        <v>6.87</v>
      </c>
      <c r="N91" t="s">
        <v>2810</v>
      </c>
      <c r="O91">
        <v>1</v>
      </c>
      <c r="P91">
        <v>2</v>
      </c>
      <c r="Q91">
        <v>0</v>
      </c>
      <c r="R91" t="s">
        <v>2635</v>
      </c>
      <c r="S91">
        <v>1</v>
      </c>
      <c r="T91">
        <v>0</v>
      </c>
      <c r="U91">
        <v>0</v>
      </c>
      <c r="W91">
        <v>73</v>
      </c>
      <c r="X91">
        <v>4</v>
      </c>
      <c r="Y91" s="7">
        <f t="shared" si="16"/>
        <v>18.25</v>
      </c>
      <c r="Z91">
        <v>1</v>
      </c>
      <c r="AA91">
        <v>207</v>
      </c>
      <c r="AB91">
        <v>0</v>
      </c>
      <c r="AC91">
        <v>2</v>
      </c>
      <c r="AD91">
        <v>0</v>
      </c>
      <c r="AE91">
        <v>9.57</v>
      </c>
      <c r="AF91">
        <v>1</v>
      </c>
      <c r="AG91" t="s">
        <v>2812</v>
      </c>
      <c r="AH91">
        <v>1</v>
      </c>
      <c r="AI91">
        <v>1</v>
      </c>
      <c r="AJ91">
        <v>1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F91" t="s">
        <v>2641</v>
      </c>
      <c r="BG91">
        <v>4</v>
      </c>
      <c r="BH91">
        <v>0</v>
      </c>
      <c r="BI91">
        <v>1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1</v>
      </c>
      <c r="BP91">
        <f t="shared" si="17"/>
        <v>4</v>
      </c>
      <c r="BQ91">
        <v>0</v>
      </c>
      <c r="BR91">
        <v>0</v>
      </c>
      <c r="BV91">
        <v>0</v>
      </c>
      <c r="BW91">
        <v>0</v>
      </c>
      <c r="BY91">
        <v>0</v>
      </c>
      <c r="BZ91">
        <v>1</v>
      </c>
      <c r="CA91" s="1">
        <v>44488</v>
      </c>
      <c r="CB91">
        <f t="shared" si="9"/>
        <v>207</v>
      </c>
      <c r="CC91">
        <f t="shared" si="10"/>
        <v>6</v>
      </c>
      <c r="CD91">
        <v>1</v>
      </c>
      <c r="CE91" s="1">
        <v>44609</v>
      </c>
      <c r="CF91">
        <f t="shared" si="11"/>
        <v>328</v>
      </c>
      <c r="CG91">
        <f t="shared" si="12"/>
        <v>10</v>
      </c>
      <c r="CH91" s="1">
        <v>44615</v>
      </c>
      <c r="CI91">
        <f t="shared" si="13"/>
        <v>334</v>
      </c>
      <c r="CJ91">
        <f t="shared" si="14"/>
        <v>10</v>
      </c>
    </row>
    <row r="92" spans="1:89" x14ac:dyDescent="0.2">
      <c r="A92" t="s">
        <v>2539</v>
      </c>
      <c r="D92" s="1">
        <v>14628</v>
      </c>
      <c r="E92">
        <v>0</v>
      </c>
      <c r="F92">
        <v>1</v>
      </c>
      <c r="G92">
        <f t="shared" si="15"/>
        <v>79</v>
      </c>
      <c r="H92">
        <v>1</v>
      </c>
      <c r="I92">
        <v>24.21</v>
      </c>
      <c r="J92" s="1">
        <v>43608</v>
      </c>
      <c r="K92" s="1">
        <v>43678</v>
      </c>
      <c r="L92">
        <v>68</v>
      </c>
      <c r="M92">
        <v>2.27</v>
      </c>
      <c r="N92" t="s">
        <v>2634</v>
      </c>
      <c r="O92">
        <v>0</v>
      </c>
      <c r="P92">
        <v>2</v>
      </c>
      <c r="Q92">
        <v>0</v>
      </c>
      <c r="R92" t="s">
        <v>2635</v>
      </c>
      <c r="S92">
        <v>1</v>
      </c>
      <c r="T92">
        <v>1</v>
      </c>
      <c r="U92">
        <v>25</v>
      </c>
      <c r="W92">
        <v>68</v>
      </c>
      <c r="X92">
        <v>10</v>
      </c>
      <c r="Y92" s="7">
        <f t="shared" si="16"/>
        <v>6.8</v>
      </c>
      <c r="Z92">
        <v>1</v>
      </c>
      <c r="AA92">
        <v>82</v>
      </c>
      <c r="AB92">
        <v>0</v>
      </c>
      <c r="AC92">
        <v>0</v>
      </c>
      <c r="AD92">
        <v>0</v>
      </c>
      <c r="AE92" t="s">
        <v>2636</v>
      </c>
      <c r="AF92">
        <v>2</v>
      </c>
      <c r="AG92" t="s">
        <v>2813</v>
      </c>
      <c r="AH92">
        <v>1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1</v>
      </c>
      <c r="BA92">
        <v>0</v>
      </c>
      <c r="BB92">
        <v>0</v>
      </c>
      <c r="BF92" t="s">
        <v>2670</v>
      </c>
      <c r="BG92">
        <v>4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f t="shared" si="17"/>
        <v>2</v>
      </c>
      <c r="BQ92">
        <v>0</v>
      </c>
      <c r="BR92">
        <v>0</v>
      </c>
      <c r="BV92">
        <v>0</v>
      </c>
      <c r="BW92">
        <v>0</v>
      </c>
      <c r="BY92">
        <v>0</v>
      </c>
      <c r="BZ92">
        <v>1</v>
      </c>
      <c r="CA92" s="1">
        <v>43676</v>
      </c>
      <c r="CB92">
        <f t="shared" si="9"/>
        <v>68</v>
      </c>
      <c r="CC92">
        <f t="shared" si="10"/>
        <v>2</v>
      </c>
      <c r="CD92">
        <v>1</v>
      </c>
      <c r="CE92" s="1">
        <v>43819</v>
      </c>
      <c r="CF92">
        <f t="shared" si="11"/>
        <v>211</v>
      </c>
      <c r="CG92">
        <f t="shared" si="12"/>
        <v>6</v>
      </c>
      <c r="CH92" s="1">
        <v>43858</v>
      </c>
      <c r="CI92">
        <f t="shared" si="13"/>
        <v>250</v>
      </c>
      <c r="CJ92">
        <f t="shared" si="14"/>
        <v>8</v>
      </c>
    </row>
    <row r="93" spans="1:89" x14ac:dyDescent="0.2">
      <c r="A93" t="s">
        <v>2540</v>
      </c>
      <c r="D93" s="1">
        <v>21339</v>
      </c>
      <c r="E93">
        <v>0</v>
      </c>
      <c r="F93">
        <v>0</v>
      </c>
      <c r="G93">
        <f t="shared" si="15"/>
        <v>61</v>
      </c>
      <c r="H93">
        <v>1</v>
      </c>
      <c r="I93">
        <v>18.440000000000001</v>
      </c>
      <c r="J93" s="1">
        <v>43648</v>
      </c>
      <c r="K93" s="1">
        <v>43675</v>
      </c>
      <c r="L93">
        <v>27</v>
      </c>
      <c r="M93">
        <v>0.9</v>
      </c>
      <c r="N93" t="s">
        <v>2799</v>
      </c>
      <c r="O93">
        <v>1</v>
      </c>
      <c r="P93">
        <v>2</v>
      </c>
      <c r="Q93">
        <v>1</v>
      </c>
      <c r="R93" t="s">
        <v>2814</v>
      </c>
      <c r="S93">
        <v>3</v>
      </c>
      <c r="T93">
        <v>1</v>
      </c>
      <c r="U93">
        <v>30</v>
      </c>
      <c r="W93">
        <v>86</v>
      </c>
      <c r="X93">
        <v>6</v>
      </c>
      <c r="Y93" s="7">
        <f t="shared" si="16"/>
        <v>14.333333333333334</v>
      </c>
      <c r="Z93">
        <v>1</v>
      </c>
      <c r="AA93">
        <v>456</v>
      </c>
      <c r="AB93">
        <v>1</v>
      </c>
      <c r="AC93">
        <v>2</v>
      </c>
      <c r="AD93">
        <v>0</v>
      </c>
      <c r="AE93">
        <v>8.3000000000000007</v>
      </c>
      <c r="AF93">
        <v>1</v>
      </c>
      <c r="AG93" t="s">
        <v>2815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F93" t="s">
        <v>2641</v>
      </c>
      <c r="BG93">
        <v>4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f t="shared" si="17"/>
        <v>2</v>
      </c>
      <c r="BQ93">
        <v>0</v>
      </c>
      <c r="BR93">
        <v>0</v>
      </c>
      <c r="BV93">
        <v>0</v>
      </c>
      <c r="BW93">
        <v>0</v>
      </c>
      <c r="BY93">
        <v>0</v>
      </c>
      <c r="BZ93">
        <v>1</v>
      </c>
      <c r="CA93" s="1">
        <v>43682</v>
      </c>
      <c r="CB93">
        <f t="shared" si="9"/>
        <v>34</v>
      </c>
      <c r="CC93">
        <f t="shared" si="10"/>
        <v>1</v>
      </c>
      <c r="CD93">
        <v>1</v>
      </c>
      <c r="CE93" s="1">
        <v>43719</v>
      </c>
      <c r="CF93">
        <f t="shared" si="11"/>
        <v>71</v>
      </c>
      <c r="CG93">
        <f t="shared" si="12"/>
        <v>2</v>
      </c>
      <c r="CH93" s="1">
        <v>43719</v>
      </c>
      <c r="CI93">
        <f t="shared" si="13"/>
        <v>71</v>
      </c>
      <c r="CJ93">
        <f t="shared" si="14"/>
        <v>2</v>
      </c>
    </row>
    <row r="94" spans="1:89" x14ac:dyDescent="0.2">
      <c r="A94" t="s">
        <v>2541</v>
      </c>
      <c r="D94" s="1">
        <v>17990</v>
      </c>
      <c r="E94">
        <v>0</v>
      </c>
      <c r="F94">
        <v>0</v>
      </c>
      <c r="G94">
        <f t="shared" si="15"/>
        <v>71</v>
      </c>
      <c r="H94">
        <v>1</v>
      </c>
      <c r="I94">
        <v>24.82</v>
      </c>
      <c r="J94" s="1">
        <v>44000</v>
      </c>
      <c r="K94" s="1">
        <v>44623</v>
      </c>
      <c r="L94">
        <v>615</v>
      </c>
      <c r="M94">
        <v>20.5</v>
      </c>
      <c r="N94" t="s">
        <v>2816</v>
      </c>
      <c r="O94">
        <v>1</v>
      </c>
      <c r="P94">
        <v>2</v>
      </c>
      <c r="Q94">
        <v>2</v>
      </c>
      <c r="R94" t="s">
        <v>2817</v>
      </c>
      <c r="S94">
        <v>2</v>
      </c>
      <c r="T94">
        <v>1</v>
      </c>
      <c r="U94">
        <v>40</v>
      </c>
      <c r="W94">
        <v>80</v>
      </c>
      <c r="X94">
        <v>13</v>
      </c>
      <c r="Y94" s="7">
        <f t="shared" si="16"/>
        <v>6.1538461538461542</v>
      </c>
      <c r="Z94">
        <v>1</v>
      </c>
      <c r="AA94">
        <v>189</v>
      </c>
      <c r="AB94">
        <v>0</v>
      </c>
      <c r="AC94">
        <v>3</v>
      </c>
      <c r="AD94">
        <v>0</v>
      </c>
      <c r="AE94">
        <v>4.2</v>
      </c>
      <c r="AF94">
        <v>0</v>
      </c>
      <c r="AG94" t="s">
        <v>2818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</v>
      </c>
      <c r="BF94" t="s">
        <v>2641</v>
      </c>
      <c r="BG94">
        <v>4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f t="shared" si="17"/>
        <v>0</v>
      </c>
      <c r="BQ94">
        <v>0</v>
      </c>
      <c r="BR94">
        <v>0</v>
      </c>
      <c r="BV94">
        <v>0</v>
      </c>
      <c r="BW94">
        <v>0</v>
      </c>
      <c r="BY94">
        <v>0</v>
      </c>
      <c r="BZ94">
        <v>1</v>
      </c>
      <c r="CA94" s="1">
        <v>44662</v>
      </c>
      <c r="CB94">
        <f t="shared" si="9"/>
        <v>662</v>
      </c>
      <c r="CC94">
        <f t="shared" si="10"/>
        <v>21</v>
      </c>
      <c r="CD94">
        <v>0</v>
      </c>
      <c r="CE94" s="1">
        <v>45756</v>
      </c>
      <c r="CF94">
        <f t="shared" si="11"/>
        <v>1756</v>
      </c>
      <c r="CG94">
        <f t="shared" si="12"/>
        <v>57</v>
      </c>
      <c r="CH94" s="1">
        <v>45756</v>
      </c>
      <c r="CI94">
        <f t="shared" si="13"/>
        <v>1756</v>
      </c>
      <c r="CJ94">
        <f t="shared" si="14"/>
        <v>57</v>
      </c>
    </row>
    <row r="95" spans="1:89" x14ac:dyDescent="0.2">
      <c r="A95" t="s">
        <v>2542</v>
      </c>
      <c r="D95" s="1">
        <v>23989</v>
      </c>
      <c r="E95">
        <v>1</v>
      </c>
      <c r="F95">
        <v>1</v>
      </c>
      <c r="G95">
        <f t="shared" si="15"/>
        <v>55</v>
      </c>
      <c r="H95">
        <v>1</v>
      </c>
      <c r="I95">
        <v>25.03</v>
      </c>
      <c r="J95" s="1">
        <v>44140</v>
      </c>
      <c r="K95" s="1">
        <v>45029</v>
      </c>
      <c r="L95">
        <v>878</v>
      </c>
      <c r="M95">
        <v>29.27</v>
      </c>
      <c r="N95" t="s">
        <v>2819</v>
      </c>
      <c r="O95">
        <v>1</v>
      </c>
      <c r="P95">
        <v>1</v>
      </c>
      <c r="Q95">
        <v>0</v>
      </c>
      <c r="R95" t="s">
        <v>2686</v>
      </c>
      <c r="S95">
        <v>4</v>
      </c>
      <c r="T95">
        <v>1</v>
      </c>
      <c r="U95">
        <v>30</v>
      </c>
      <c r="W95">
        <v>90</v>
      </c>
      <c r="X95">
        <v>9</v>
      </c>
      <c r="Y95" s="7">
        <f t="shared" si="16"/>
        <v>10</v>
      </c>
      <c r="Z95">
        <v>1</v>
      </c>
      <c r="AA95">
        <v>253</v>
      </c>
      <c r="AB95">
        <v>0</v>
      </c>
      <c r="AC95">
        <v>3</v>
      </c>
      <c r="AD95">
        <v>0</v>
      </c>
      <c r="AE95" t="s">
        <v>2636</v>
      </c>
      <c r="AF95">
        <v>2</v>
      </c>
      <c r="AG95" t="s">
        <v>2820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1</v>
      </c>
      <c r="BC95" t="s">
        <v>2650</v>
      </c>
      <c r="BD95" t="s">
        <v>2639</v>
      </c>
      <c r="BE95" t="s">
        <v>2696</v>
      </c>
      <c r="BF95" t="s">
        <v>2670</v>
      </c>
      <c r="BG95">
        <v>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f t="shared" si="17"/>
        <v>0</v>
      </c>
      <c r="BQ95">
        <v>0</v>
      </c>
      <c r="BR95">
        <v>0</v>
      </c>
      <c r="BV95">
        <v>0</v>
      </c>
      <c r="BW95">
        <v>0</v>
      </c>
      <c r="BY95">
        <v>0</v>
      </c>
      <c r="BZ95">
        <v>1</v>
      </c>
      <c r="CA95" s="1">
        <v>44991</v>
      </c>
      <c r="CB95">
        <f t="shared" si="9"/>
        <v>851</v>
      </c>
      <c r="CC95">
        <f t="shared" si="10"/>
        <v>28</v>
      </c>
      <c r="CD95">
        <v>0</v>
      </c>
      <c r="CE95" s="1">
        <v>45743</v>
      </c>
      <c r="CF95">
        <f t="shared" si="11"/>
        <v>1603</v>
      </c>
      <c r="CG95">
        <f t="shared" si="12"/>
        <v>52</v>
      </c>
      <c r="CH95" s="1">
        <v>45743</v>
      </c>
      <c r="CI95">
        <f t="shared" si="13"/>
        <v>1603</v>
      </c>
      <c r="CJ95">
        <f t="shared" si="14"/>
        <v>52</v>
      </c>
    </row>
    <row r="96" spans="1:89" x14ac:dyDescent="0.2">
      <c r="A96" t="s">
        <v>2543</v>
      </c>
      <c r="D96" s="1">
        <v>21078</v>
      </c>
      <c r="E96">
        <v>1</v>
      </c>
      <c r="F96">
        <v>1</v>
      </c>
      <c r="G96">
        <f t="shared" si="15"/>
        <v>61</v>
      </c>
      <c r="H96">
        <v>2</v>
      </c>
      <c r="I96">
        <v>30.4</v>
      </c>
      <c r="J96" s="1">
        <v>43703</v>
      </c>
      <c r="K96" s="1">
        <v>44060</v>
      </c>
      <c r="L96">
        <v>351</v>
      </c>
      <c r="M96">
        <v>11.7</v>
      </c>
      <c r="N96" t="s">
        <v>2821</v>
      </c>
      <c r="O96">
        <v>1</v>
      </c>
      <c r="P96">
        <v>2</v>
      </c>
      <c r="Q96">
        <v>1</v>
      </c>
      <c r="R96" t="s">
        <v>2688</v>
      </c>
      <c r="S96">
        <v>2</v>
      </c>
      <c r="T96">
        <v>1</v>
      </c>
      <c r="U96">
        <v>5</v>
      </c>
      <c r="V96">
        <v>5</v>
      </c>
      <c r="W96">
        <v>63</v>
      </c>
      <c r="X96">
        <v>25</v>
      </c>
      <c r="Y96" s="7">
        <f t="shared" si="16"/>
        <v>2.52</v>
      </c>
      <c r="Z96">
        <v>0</v>
      </c>
      <c r="AA96">
        <v>368</v>
      </c>
      <c r="AB96">
        <v>0</v>
      </c>
      <c r="AC96">
        <v>0</v>
      </c>
      <c r="AD96">
        <v>0</v>
      </c>
      <c r="AE96">
        <v>6.8</v>
      </c>
      <c r="AF96">
        <v>1</v>
      </c>
      <c r="AG96" t="s">
        <v>2822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 t="s">
        <v>2719</v>
      </c>
      <c r="BD96" t="s">
        <v>2695</v>
      </c>
      <c r="BE96" t="s">
        <v>2640</v>
      </c>
      <c r="BF96" t="s">
        <v>2641</v>
      </c>
      <c r="BG96">
        <v>4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f t="shared" si="17"/>
        <v>1</v>
      </c>
      <c r="BQ96">
        <v>1</v>
      </c>
      <c r="BR96">
        <v>2</v>
      </c>
      <c r="BS96" s="1">
        <v>43755</v>
      </c>
      <c r="BT96">
        <f>DATEDIF(J96,BS96,"d")</f>
        <v>52</v>
      </c>
      <c r="BU96">
        <f>DATEDIF(J96,BS96,"m")</f>
        <v>1</v>
      </c>
      <c r="BV96">
        <v>0</v>
      </c>
      <c r="BW96">
        <v>0</v>
      </c>
      <c r="BX96" t="s">
        <v>2823</v>
      </c>
      <c r="BY96">
        <v>0</v>
      </c>
      <c r="BZ96">
        <v>1</v>
      </c>
      <c r="CA96" s="1">
        <v>43955</v>
      </c>
      <c r="CB96">
        <f t="shared" si="9"/>
        <v>252</v>
      </c>
      <c r="CC96">
        <f t="shared" si="10"/>
        <v>8</v>
      </c>
      <c r="CD96">
        <v>1</v>
      </c>
      <c r="CE96" s="1">
        <v>44129</v>
      </c>
      <c r="CF96">
        <f t="shared" si="11"/>
        <v>426</v>
      </c>
      <c r="CG96">
        <f t="shared" si="12"/>
        <v>13</v>
      </c>
      <c r="CH96" s="1">
        <v>44129</v>
      </c>
      <c r="CI96">
        <f t="shared" si="13"/>
        <v>426</v>
      </c>
      <c r="CJ96">
        <f t="shared" si="14"/>
        <v>13</v>
      </c>
    </row>
    <row r="97" spans="1:89" x14ac:dyDescent="0.2">
      <c r="A97" t="s">
        <v>2544</v>
      </c>
      <c r="D97" s="1">
        <v>20343</v>
      </c>
      <c r="E97">
        <v>0</v>
      </c>
      <c r="F97">
        <v>1</v>
      </c>
      <c r="G97">
        <f t="shared" si="15"/>
        <v>64</v>
      </c>
      <c r="H97">
        <v>1</v>
      </c>
      <c r="I97">
        <v>30.64</v>
      </c>
      <c r="J97" s="1">
        <v>43864</v>
      </c>
      <c r="K97" s="1">
        <v>44285</v>
      </c>
      <c r="L97">
        <v>417</v>
      </c>
      <c r="M97">
        <v>13.9</v>
      </c>
      <c r="N97" t="s">
        <v>2747</v>
      </c>
      <c r="O97">
        <v>0</v>
      </c>
      <c r="P97">
        <v>3</v>
      </c>
      <c r="Q97">
        <v>1</v>
      </c>
      <c r="R97" t="s">
        <v>2824</v>
      </c>
      <c r="S97">
        <v>2</v>
      </c>
      <c r="T97">
        <v>0</v>
      </c>
      <c r="U97">
        <v>0</v>
      </c>
      <c r="W97">
        <v>64</v>
      </c>
      <c r="X97">
        <v>14</v>
      </c>
      <c r="Y97" s="7">
        <f t="shared" si="16"/>
        <v>4.5714285714285712</v>
      </c>
      <c r="Z97">
        <v>1</v>
      </c>
      <c r="AA97">
        <v>205</v>
      </c>
      <c r="AB97">
        <v>0</v>
      </c>
      <c r="AC97">
        <v>3</v>
      </c>
      <c r="AD97">
        <v>2</v>
      </c>
      <c r="AE97" t="s">
        <v>2636</v>
      </c>
      <c r="AF97">
        <v>2</v>
      </c>
      <c r="AG97" t="s">
        <v>2825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 t="s">
        <v>2647</v>
      </c>
      <c r="BD97" t="s">
        <v>2695</v>
      </c>
      <c r="BE97" t="s">
        <v>2640</v>
      </c>
      <c r="BF97" t="s">
        <v>2641</v>
      </c>
      <c r="BG97">
        <v>4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1</v>
      </c>
      <c r="BP97">
        <f t="shared" si="17"/>
        <v>2</v>
      </c>
      <c r="BQ97">
        <v>0</v>
      </c>
      <c r="BR97">
        <v>0</v>
      </c>
      <c r="BV97">
        <v>0</v>
      </c>
      <c r="BW97">
        <v>0</v>
      </c>
      <c r="BY97">
        <v>0</v>
      </c>
      <c r="BZ97">
        <v>1</v>
      </c>
      <c r="CA97" s="1">
        <v>44216</v>
      </c>
      <c r="CB97">
        <f t="shared" si="9"/>
        <v>352</v>
      </c>
      <c r="CC97">
        <f t="shared" si="10"/>
        <v>11</v>
      </c>
      <c r="CD97" s="10">
        <v>0</v>
      </c>
      <c r="CE97" s="1">
        <v>44609</v>
      </c>
      <c r="CF97">
        <f t="shared" si="11"/>
        <v>745</v>
      </c>
      <c r="CG97">
        <f t="shared" si="12"/>
        <v>24</v>
      </c>
      <c r="CH97" s="1">
        <v>44609</v>
      </c>
      <c r="CI97">
        <f t="shared" si="13"/>
        <v>745</v>
      </c>
      <c r="CJ97">
        <f t="shared" si="14"/>
        <v>24</v>
      </c>
      <c r="CK97" t="s">
        <v>2826</v>
      </c>
    </row>
    <row r="98" spans="1:89" x14ac:dyDescent="0.2">
      <c r="A98" t="s">
        <v>2545</v>
      </c>
      <c r="D98" s="1">
        <v>17163</v>
      </c>
      <c r="E98">
        <v>0</v>
      </c>
      <c r="F98">
        <v>1</v>
      </c>
      <c r="G98">
        <f t="shared" si="15"/>
        <v>72</v>
      </c>
      <c r="H98">
        <v>1</v>
      </c>
      <c r="I98">
        <v>18.09</v>
      </c>
      <c r="J98" s="1">
        <v>43801</v>
      </c>
      <c r="K98" s="1">
        <v>44469</v>
      </c>
      <c r="L98">
        <v>658</v>
      </c>
      <c r="M98">
        <v>21.93</v>
      </c>
      <c r="N98" t="s">
        <v>2634</v>
      </c>
      <c r="O98">
        <v>0</v>
      </c>
      <c r="P98">
        <v>2</v>
      </c>
      <c r="Q98">
        <v>1</v>
      </c>
      <c r="R98" t="s">
        <v>2765</v>
      </c>
      <c r="S98">
        <v>4</v>
      </c>
      <c r="T98">
        <v>1</v>
      </c>
      <c r="U98">
        <v>60</v>
      </c>
      <c r="W98">
        <v>70</v>
      </c>
      <c r="X98">
        <v>19</v>
      </c>
      <c r="Y98" s="7">
        <f t="shared" si="16"/>
        <v>3.6842105263157894</v>
      </c>
      <c r="Z98">
        <v>0</v>
      </c>
      <c r="AA98">
        <v>219</v>
      </c>
      <c r="AB98">
        <v>0</v>
      </c>
      <c r="AC98">
        <v>3</v>
      </c>
      <c r="AD98">
        <v>0</v>
      </c>
      <c r="AE98">
        <v>5.74</v>
      </c>
      <c r="AF98">
        <v>0</v>
      </c>
      <c r="AG98" t="s">
        <v>2827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 t="s">
        <v>2828</v>
      </c>
      <c r="BD98" t="s">
        <v>2695</v>
      </c>
      <c r="BE98" t="s">
        <v>2640</v>
      </c>
      <c r="BF98" t="s">
        <v>2681</v>
      </c>
      <c r="BG98">
        <v>4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f t="shared" si="17"/>
        <v>1</v>
      </c>
      <c r="BQ98">
        <v>0</v>
      </c>
      <c r="BR98">
        <v>0</v>
      </c>
      <c r="BV98">
        <v>0</v>
      </c>
      <c r="BW98">
        <v>0</v>
      </c>
      <c r="BY98">
        <v>0</v>
      </c>
      <c r="BZ98">
        <v>0</v>
      </c>
      <c r="CA98" s="1">
        <v>44468</v>
      </c>
      <c r="CB98">
        <f t="shared" si="9"/>
        <v>667</v>
      </c>
      <c r="CC98">
        <f t="shared" si="10"/>
        <v>21</v>
      </c>
      <c r="CD98">
        <v>1</v>
      </c>
      <c r="CE98" s="1">
        <v>44459</v>
      </c>
      <c r="CF98">
        <f t="shared" si="11"/>
        <v>658</v>
      </c>
      <c r="CG98">
        <f t="shared" si="12"/>
        <v>21</v>
      </c>
      <c r="CH98" s="1">
        <v>44469</v>
      </c>
      <c r="CI98">
        <f t="shared" si="13"/>
        <v>668</v>
      </c>
      <c r="CJ98">
        <f t="shared" si="14"/>
        <v>21</v>
      </c>
      <c r="CK98" t="s">
        <v>2829</v>
      </c>
    </row>
    <row r="99" spans="1:89" x14ac:dyDescent="0.2">
      <c r="A99" t="s">
        <v>2546</v>
      </c>
      <c r="D99" s="1">
        <v>25468</v>
      </c>
      <c r="E99">
        <v>0</v>
      </c>
      <c r="F99">
        <v>1</v>
      </c>
      <c r="G99">
        <f t="shared" si="15"/>
        <v>50</v>
      </c>
      <c r="H99">
        <v>1</v>
      </c>
      <c r="I99">
        <v>16.82</v>
      </c>
      <c r="J99" s="1">
        <v>43830</v>
      </c>
      <c r="K99" s="1">
        <v>43958</v>
      </c>
      <c r="L99">
        <v>127</v>
      </c>
      <c r="M99">
        <v>4.2300000000000004</v>
      </c>
      <c r="N99" t="s">
        <v>2819</v>
      </c>
      <c r="O99">
        <v>1</v>
      </c>
      <c r="P99">
        <v>3</v>
      </c>
      <c r="Q99">
        <v>1</v>
      </c>
      <c r="R99" t="s">
        <v>2635</v>
      </c>
      <c r="S99">
        <v>1</v>
      </c>
      <c r="T99">
        <v>0</v>
      </c>
      <c r="U99">
        <v>0</v>
      </c>
      <c r="W99">
        <v>79</v>
      </c>
      <c r="X99">
        <v>18</v>
      </c>
      <c r="Y99" s="7">
        <f t="shared" si="16"/>
        <v>4.3888888888888893</v>
      </c>
      <c r="Z99">
        <v>1</v>
      </c>
      <c r="AA99">
        <v>297</v>
      </c>
      <c r="AB99">
        <v>0</v>
      </c>
      <c r="AC99">
        <v>3</v>
      </c>
      <c r="AD99">
        <v>2</v>
      </c>
      <c r="AE99" t="s">
        <v>2636</v>
      </c>
      <c r="AF99">
        <v>2</v>
      </c>
      <c r="AG99" t="s">
        <v>2830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 t="s">
        <v>2753</v>
      </c>
      <c r="BD99" t="s">
        <v>2713</v>
      </c>
      <c r="BE99" t="s">
        <v>2696</v>
      </c>
      <c r="BF99" t="s">
        <v>2641</v>
      </c>
      <c r="BG99">
        <v>4</v>
      </c>
      <c r="BH99">
        <v>1</v>
      </c>
      <c r="BI99">
        <v>0</v>
      </c>
      <c r="BJ99">
        <v>1</v>
      </c>
      <c r="BK99">
        <v>0</v>
      </c>
      <c r="BL99">
        <v>1</v>
      </c>
      <c r="BM99">
        <v>0</v>
      </c>
      <c r="BN99">
        <v>0</v>
      </c>
      <c r="BO99">
        <v>1</v>
      </c>
      <c r="BP99">
        <f t="shared" si="17"/>
        <v>4</v>
      </c>
      <c r="BQ99">
        <v>0</v>
      </c>
      <c r="BR99">
        <v>0</v>
      </c>
      <c r="BV99">
        <v>0</v>
      </c>
      <c r="BW99">
        <v>0</v>
      </c>
      <c r="BY99">
        <v>1</v>
      </c>
      <c r="BZ99">
        <v>0</v>
      </c>
      <c r="CA99" s="1">
        <v>43907</v>
      </c>
      <c r="CB99">
        <f t="shared" si="9"/>
        <v>77</v>
      </c>
      <c r="CC99">
        <f t="shared" si="10"/>
        <v>2</v>
      </c>
      <c r="CD99">
        <v>1</v>
      </c>
      <c r="CE99" s="1">
        <v>43958</v>
      </c>
      <c r="CF99">
        <f t="shared" si="11"/>
        <v>128</v>
      </c>
      <c r="CG99">
        <f t="shared" si="12"/>
        <v>4</v>
      </c>
      <c r="CH99" s="1">
        <v>43958</v>
      </c>
      <c r="CI99">
        <f t="shared" si="13"/>
        <v>128</v>
      </c>
      <c r="CJ99">
        <f t="shared" si="14"/>
        <v>4</v>
      </c>
    </row>
    <row r="100" spans="1:89" x14ac:dyDescent="0.2">
      <c r="A100" t="s">
        <v>2547</v>
      </c>
      <c r="D100" s="1">
        <v>17300</v>
      </c>
      <c r="E100">
        <v>1</v>
      </c>
      <c r="F100">
        <v>1</v>
      </c>
      <c r="G100">
        <f t="shared" si="15"/>
        <v>74</v>
      </c>
      <c r="H100">
        <v>2</v>
      </c>
      <c r="I100">
        <v>22.38</v>
      </c>
      <c r="J100" s="1">
        <v>44613</v>
      </c>
      <c r="K100" s="1">
        <v>45029</v>
      </c>
      <c r="L100">
        <v>412</v>
      </c>
      <c r="M100">
        <v>13.73</v>
      </c>
      <c r="N100" t="s">
        <v>2831</v>
      </c>
      <c r="O100">
        <v>1</v>
      </c>
      <c r="P100">
        <v>3</v>
      </c>
      <c r="Q100">
        <v>1</v>
      </c>
      <c r="R100" t="s">
        <v>2635</v>
      </c>
      <c r="S100">
        <v>1</v>
      </c>
      <c r="T100">
        <v>0</v>
      </c>
      <c r="U100">
        <v>0</v>
      </c>
      <c r="W100">
        <v>80.8</v>
      </c>
      <c r="X100">
        <v>7.5</v>
      </c>
      <c r="Y100" s="7">
        <f t="shared" si="16"/>
        <v>10.773333333333333</v>
      </c>
      <c r="Z100">
        <v>1</v>
      </c>
      <c r="AA100">
        <v>187</v>
      </c>
      <c r="AB100">
        <v>0</v>
      </c>
      <c r="AC100">
        <v>0</v>
      </c>
      <c r="AD100">
        <v>0</v>
      </c>
      <c r="AE100" t="s">
        <v>2636</v>
      </c>
      <c r="AF100">
        <v>2</v>
      </c>
      <c r="AG100" t="s">
        <v>2832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F100" t="s">
        <v>2641</v>
      </c>
      <c r="BG100">
        <v>4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0</v>
      </c>
      <c r="BP100">
        <f t="shared" si="17"/>
        <v>1</v>
      </c>
      <c r="BQ100">
        <v>0</v>
      </c>
      <c r="BR100">
        <v>0</v>
      </c>
      <c r="BV100">
        <v>0</v>
      </c>
      <c r="BW100">
        <v>0</v>
      </c>
      <c r="BY100">
        <v>0</v>
      </c>
      <c r="BZ100">
        <v>1</v>
      </c>
      <c r="CA100" s="1">
        <v>45214</v>
      </c>
      <c r="CB100">
        <f t="shared" si="9"/>
        <v>601</v>
      </c>
      <c r="CC100">
        <f t="shared" si="10"/>
        <v>19</v>
      </c>
      <c r="CD100">
        <v>0</v>
      </c>
      <c r="CE100" s="1">
        <v>45750</v>
      </c>
      <c r="CF100">
        <f t="shared" si="11"/>
        <v>1137</v>
      </c>
      <c r="CG100">
        <f t="shared" si="12"/>
        <v>37</v>
      </c>
      <c r="CH100" s="1">
        <v>45750</v>
      </c>
      <c r="CI100">
        <f t="shared" si="13"/>
        <v>1137</v>
      </c>
      <c r="CJ100">
        <f t="shared" si="14"/>
        <v>37</v>
      </c>
    </row>
    <row r="101" spans="1:89" x14ac:dyDescent="0.2">
      <c r="A101" t="s">
        <v>2548</v>
      </c>
      <c r="D101" s="1">
        <v>18909</v>
      </c>
      <c r="E101">
        <v>0</v>
      </c>
      <c r="F101">
        <v>1</v>
      </c>
      <c r="G101">
        <f t="shared" si="15"/>
        <v>67</v>
      </c>
      <c r="H101">
        <v>2</v>
      </c>
      <c r="I101">
        <v>24.11</v>
      </c>
      <c r="J101" s="1">
        <v>43440</v>
      </c>
      <c r="K101" s="1">
        <v>43854</v>
      </c>
      <c r="L101">
        <v>408</v>
      </c>
      <c r="M101">
        <v>13.6</v>
      </c>
      <c r="N101" t="s">
        <v>2819</v>
      </c>
      <c r="O101">
        <v>1</v>
      </c>
      <c r="P101">
        <v>3</v>
      </c>
      <c r="Q101">
        <v>1</v>
      </c>
      <c r="R101" t="s">
        <v>2635</v>
      </c>
      <c r="S101">
        <v>1</v>
      </c>
      <c r="T101">
        <v>1</v>
      </c>
      <c r="U101">
        <v>40</v>
      </c>
      <c r="W101">
        <v>87</v>
      </c>
      <c r="X101">
        <v>5</v>
      </c>
      <c r="Y101" s="7">
        <f t="shared" si="16"/>
        <v>17.399999999999999</v>
      </c>
      <c r="Z101">
        <v>1</v>
      </c>
      <c r="AA101">
        <v>243</v>
      </c>
      <c r="AB101">
        <v>0</v>
      </c>
      <c r="AC101">
        <v>0</v>
      </c>
      <c r="AD101">
        <v>0</v>
      </c>
      <c r="AE101">
        <v>1.7</v>
      </c>
      <c r="AF101">
        <v>0</v>
      </c>
      <c r="AG101" t="s">
        <v>2833</v>
      </c>
      <c r="AH101">
        <v>1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 t="s">
        <v>2647</v>
      </c>
      <c r="BD101" t="s">
        <v>2695</v>
      </c>
      <c r="BE101" t="s">
        <v>2640</v>
      </c>
      <c r="BF101" t="s">
        <v>2641</v>
      </c>
      <c r="BG101">
        <v>4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f t="shared" si="17"/>
        <v>1</v>
      </c>
      <c r="BQ101">
        <v>0</v>
      </c>
      <c r="BR101">
        <v>0</v>
      </c>
      <c r="BV101">
        <v>0</v>
      </c>
      <c r="BW101">
        <v>0</v>
      </c>
      <c r="BY101">
        <v>0</v>
      </c>
      <c r="BZ101">
        <v>1</v>
      </c>
      <c r="CA101" s="1">
        <v>43705</v>
      </c>
      <c r="CB101">
        <f t="shared" si="9"/>
        <v>265</v>
      </c>
      <c r="CC101">
        <f t="shared" si="10"/>
        <v>8</v>
      </c>
      <c r="CD101">
        <v>1</v>
      </c>
      <c r="CE101" s="1">
        <v>44094</v>
      </c>
      <c r="CF101">
        <f t="shared" si="11"/>
        <v>654</v>
      </c>
      <c r="CG101">
        <f t="shared" si="12"/>
        <v>21</v>
      </c>
      <c r="CH101" s="1">
        <v>44094</v>
      </c>
      <c r="CI101">
        <f t="shared" si="13"/>
        <v>654</v>
      </c>
      <c r="CJ101">
        <f t="shared" si="14"/>
        <v>21</v>
      </c>
    </row>
    <row r="102" spans="1:89" x14ac:dyDescent="0.2">
      <c r="A102" t="s">
        <v>2549</v>
      </c>
      <c r="D102" s="1">
        <v>17888</v>
      </c>
      <c r="E102">
        <v>1</v>
      </c>
      <c r="F102">
        <v>1</v>
      </c>
      <c r="G102">
        <f t="shared" si="15"/>
        <v>71</v>
      </c>
      <c r="H102">
        <v>2</v>
      </c>
      <c r="I102">
        <v>18</v>
      </c>
      <c r="J102" s="1">
        <v>43986</v>
      </c>
      <c r="K102" s="1">
        <v>44153</v>
      </c>
      <c r="L102">
        <v>164</v>
      </c>
      <c r="M102">
        <v>5.47</v>
      </c>
      <c r="N102" t="s">
        <v>2834</v>
      </c>
      <c r="O102">
        <v>1</v>
      </c>
      <c r="P102">
        <v>2</v>
      </c>
      <c r="Q102">
        <v>1</v>
      </c>
      <c r="R102" t="s">
        <v>2688</v>
      </c>
      <c r="S102">
        <v>2</v>
      </c>
      <c r="T102">
        <v>0</v>
      </c>
      <c r="U102">
        <v>0</v>
      </c>
      <c r="W102">
        <v>81</v>
      </c>
      <c r="X102">
        <v>13</v>
      </c>
      <c r="Y102" s="7">
        <f t="shared" si="16"/>
        <v>6.2307692307692308</v>
      </c>
      <c r="Z102">
        <v>1</v>
      </c>
      <c r="AA102">
        <v>373</v>
      </c>
      <c r="AB102">
        <v>0</v>
      </c>
      <c r="AC102">
        <v>0</v>
      </c>
      <c r="AD102">
        <v>0</v>
      </c>
      <c r="AE102">
        <v>20.5</v>
      </c>
      <c r="AF102">
        <v>1</v>
      </c>
      <c r="AG102" t="s">
        <v>2835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1</v>
      </c>
      <c r="BA102">
        <v>1</v>
      </c>
      <c r="BB102">
        <v>0</v>
      </c>
      <c r="BF102" t="s">
        <v>2641</v>
      </c>
      <c r="BG102">
        <v>4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f t="shared" si="17"/>
        <v>2</v>
      </c>
      <c r="BQ102">
        <v>1</v>
      </c>
      <c r="BR102">
        <v>1</v>
      </c>
      <c r="BS102" s="1">
        <v>44140</v>
      </c>
      <c r="BT102">
        <f>DATEDIF(J102,BS102,"d")</f>
        <v>154</v>
      </c>
      <c r="BU102">
        <f>DATEDIF(J102,BS102,"m")</f>
        <v>5</v>
      </c>
      <c r="BV102">
        <v>1</v>
      </c>
      <c r="BW102">
        <v>0</v>
      </c>
      <c r="BY102">
        <v>0</v>
      </c>
      <c r="BZ102">
        <v>1</v>
      </c>
      <c r="CA102" s="1">
        <v>44277</v>
      </c>
      <c r="CB102">
        <f t="shared" si="9"/>
        <v>291</v>
      </c>
      <c r="CC102">
        <f t="shared" si="10"/>
        <v>9</v>
      </c>
      <c r="CD102">
        <v>1</v>
      </c>
      <c r="CE102" s="1">
        <v>44453</v>
      </c>
      <c r="CF102">
        <f t="shared" si="11"/>
        <v>467</v>
      </c>
      <c r="CG102">
        <f t="shared" si="12"/>
        <v>15</v>
      </c>
      <c r="CH102" s="1">
        <v>44462</v>
      </c>
      <c r="CI102">
        <f t="shared" si="13"/>
        <v>476</v>
      </c>
      <c r="CJ102">
        <f t="shared" si="14"/>
        <v>15</v>
      </c>
    </row>
    <row r="103" spans="1:89" x14ac:dyDescent="0.2">
      <c r="A103" t="s">
        <v>2550</v>
      </c>
      <c r="D103" s="1">
        <v>17995</v>
      </c>
      <c r="E103">
        <v>1</v>
      </c>
      <c r="F103">
        <v>1</v>
      </c>
      <c r="G103">
        <f t="shared" si="15"/>
        <v>70</v>
      </c>
      <c r="H103">
        <v>2</v>
      </c>
      <c r="I103">
        <v>40.32</v>
      </c>
      <c r="J103" s="1">
        <v>43609</v>
      </c>
      <c r="K103" s="1">
        <v>43745</v>
      </c>
      <c r="L103">
        <v>133</v>
      </c>
      <c r="M103">
        <v>4.43</v>
      </c>
      <c r="N103" t="s">
        <v>2836</v>
      </c>
      <c r="O103">
        <v>1</v>
      </c>
      <c r="P103">
        <v>2</v>
      </c>
      <c r="Q103">
        <v>2</v>
      </c>
      <c r="R103" t="s">
        <v>2688</v>
      </c>
      <c r="S103">
        <v>2</v>
      </c>
      <c r="T103">
        <v>0</v>
      </c>
      <c r="U103">
        <v>0</v>
      </c>
      <c r="V103">
        <v>0</v>
      </c>
      <c r="W103">
        <v>57</v>
      </c>
      <c r="X103">
        <v>26</v>
      </c>
      <c r="Y103" s="7">
        <f t="shared" si="16"/>
        <v>2.1923076923076925</v>
      </c>
      <c r="Z103">
        <v>0</v>
      </c>
      <c r="AA103">
        <v>222</v>
      </c>
      <c r="AB103">
        <v>0</v>
      </c>
      <c r="AC103">
        <v>3</v>
      </c>
      <c r="AD103">
        <v>0</v>
      </c>
      <c r="AE103">
        <v>1.3</v>
      </c>
      <c r="AF103">
        <v>0</v>
      </c>
      <c r="AG103" t="s">
        <v>2837</v>
      </c>
      <c r="AH103">
        <v>0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 t="s">
        <v>2647</v>
      </c>
      <c r="BD103" t="s">
        <v>2695</v>
      </c>
      <c r="BE103" t="s">
        <v>2640</v>
      </c>
      <c r="BF103" t="s">
        <v>2670</v>
      </c>
      <c r="BG103">
        <v>4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f t="shared" si="17"/>
        <v>2</v>
      </c>
      <c r="BQ103">
        <v>0</v>
      </c>
      <c r="BR103">
        <v>0</v>
      </c>
      <c r="BV103">
        <v>0</v>
      </c>
      <c r="BW103">
        <v>0</v>
      </c>
      <c r="BY103">
        <v>0</v>
      </c>
      <c r="BZ103">
        <v>1</v>
      </c>
      <c r="CA103" s="1">
        <v>43718</v>
      </c>
      <c r="CB103">
        <f t="shared" si="9"/>
        <v>109</v>
      </c>
      <c r="CC103">
        <f t="shared" si="10"/>
        <v>3</v>
      </c>
      <c r="CD103">
        <v>1</v>
      </c>
      <c r="CE103" s="1">
        <v>45027</v>
      </c>
      <c r="CF103">
        <f t="shared" si="11"/>
        <v>1418</v>
      </c>
      <c r="CG103">
        <f t="shared" si="12"/>
        <v>46</v>
      </c>
      <c r="CH103" s="1">
        <v>45027</v>
      </c>
      <c r="CI103">
        <f t="shared" si="13"/>
        <v>1418</v>
      </c>
      <c r="CJ103">
        <f t="shared" si="14"/>
        <v>46</v>
      </c>
    </row>
    <row r="104" spans="1:89" x14ac:dyDescent="0.2">
      <c r="A104" t="s">
        <v>2551</v>
      </c>
      <c r="D104" s="1">
        <v>22580</v>
      </c>
      <c r="E104">
        <v>0</v>
      </c>
      <c r="F104">
        <v>1</v>
      </c>
      <c r="G104">
        <f t="shared" si="15"/>
        <v>59</v>
      </c>
      <c r="H104">
        <v>1</v>
      </c>
      <c r="I104">
        <v>25.62</v>
      </c>
      <c r="J104" s="1">
        <v>44183</v>
      </c>
      <c r="K104" s="1">
        <v>44396</v>
      </c>
      <c r="L104">
        <v>211</v>
      </c>
      <c r="M104">
        <v>7.03</v>
      </c>
      <c r="N104" t="s">
        <v>2789</v>
      </c>
      <c r="O104">
        <v>0</v>
      </c>
      <c r="P104">
        <v>2</v>
      </c>
      <c r="Q104">
        <v>2</v>
      </c>
      <c r="R104" t="s">
        <v>2635</v>
      </c>
      <c r="S104">
        <v>1</v>
      </c>
      <c r="T104">
        <v>1</v>
      </c>
      <c r="U104">
        <v>3</v>
      </c>
      <c r="W104">
        <v>70</v>
      </c>
      <c r="X104">
        <v>20</v>
      </c>
      <c r="Y104" s="7">
        <f t="shared" si="16"/>
        <v>3.5</v>
      </c>
      <c r="Z104">
        <v>0</v>
      </c>
      <c r="AA104">
        <v>355</v>
      </c>
      <c r="AB104">
        <v>0</v>
      </c>
      <c r="AC104">
        <v>2</v>
      </c>
      <c r="AD104">
        <v>2</v>
      </c>
      <c r="AE104">
        <v>4.2</v>
      </c>
      <c r="AF104">
        <v>0</v>
      </c>
      <c r="AG104" t="s">
        <v>2838</v>
      </c>
      <c r="AH104">
        <v>1</v>
      </c>
      <c r="AI104">
        <v>1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F104" t="s">
        <v>2641</v>
      </c>
      <c r="BG104">
        <v>4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2</v>
      </c>
      <c r="BP104">
        <f t="shared" si="17"/>
        <v>5</v>
      </c>
      <c r="BQ104">
        <v>0</v>
      </c>
      <c r="BR104">
        <v>0</v>
      </c>
      <c r="BV104">
        <v>0</v>
      </c>
      <c r="BW104">
        <v>0</v>
      </c>
      <c r="BY104">
        <v>0</v>
      </c>
      <c r="BZ104">
        <v>1</v>
      </c>
      <c r="CA104" s="1">
        <v>44281</v>
      </c>
      <c r="CB104">
        <f t="shared" si="9"/>
        <v>98</v>
      </c>
      <c r="CC104">
        <f t="shared" si="10"/>
        <v>3</v>
      </c>
      <c r="CD104">
        <v>1</v>
      </c>
      <c r="CE104" s="1">
        <v>44362</v>
      </c>
      <c r="CF104">
        <f t="shared" si="11"/>
        <v>179</v>
      </c>
      <c r="CG104">
        <f t="shared" si="12"/>
        <v>5</v>
      </c>
      <c r="CH104" s="1">
        <v>44437</v>
      </c>
      <c r="CI104">
        <f t="shared" si="13"/>
        <v>254</v>
      </c>
      <c r="CJ104">
        <f t="shared" si="14"/>
        <v>8</v>
      </c>
    </row>
    <row r="105" spans="1:89" ht="320" x14ac:dyDescent="0.2">
      <c r="A105" t="s">
        <v>2867</v>
      </c>
      <c r="E105" s="4" t="s">
        <v>2839</v>
      </c>
      <c r="F105" s="4" t="s">
        <v>2840</v>
      </c>
      <c r="G105" t="s">
        <v>2841</v>
      </c>
      <c r="H105" s="4" t="s">
        <v>2842</v>
      </c>
      <c r="J105" s="4" t="s">
        <v>2843</v>
      </c>
      <c r="K105" s="4" t="s">
        <v>2844</v>
      </c>
      <c r="L105" t="s">
        <v>2845</v>
      </c>
      <c r="M105" t="s">
        <v>2846</v>
      </c>
      <c r="N105" t="s">
        <v>2847</v>
      </c>
      <c r="O105" s="4" t="s">
        <v>2848</v>
      </c>
      <c r="P105" s="4" t="s">
        <v>2849</v>
      </c>
      <c r="R105" s="4" t="s">
        <v>2850</v>
      </c>
      <c r="S105" s="4" t="s">
        <v>2851</v>
      </c>
      <c r="T105" s="4" t="s">
        <v>2852</v>
      </c>
      <c r="U105" t="s">
        <v>2853</v>
      </c>
      <c r="V105" t="s">
        <v>2853</v>
      </c>
      <c r="W105" t="s">
        <v>2854</v>
      </c>
      <c r="X105" t="s">
        <v>2854</v>
      </c>
      <c r="Z105" s="4" t="s">
        <v>2855</v>
      </c>
      <c r="AA105" s="4" t="s">
        <v>2856</v>
      </c>
      <c r="AB105" s="4" t="s">
        <v>2857</v>
      </c>
      <c r="AC105" s="4" t="s">
        <v>2858</v>
      </c>
      <c r="AD105" s="4" t="s">
        <v>2859</v>
      </c>
      <c r="AF105" s="4" t="s">
        <v>2860</v>
      </c>
      <c r="AG105" t="s">
        <v>2861</v>
      </c>
      <c r="AH105" s="4" t="s">
        <v>2859</v>
      </c>
      <c r="AI105" s="4" t="s">
        <v>2859</v>
      </c>
      <c r="AJ105" s="4" t="s">
        <v>2859</v>
      </c>
      <c r="AK105" s="4" t="s">
        <v>2859</v>
      </c>
      <c r="AL105" s="4" t="s">
        <v>2859</v>
      </c>
      <c r="AM105" s="4" t="s">
        <v>2859</v>
      </c>
      <c r="AN105" s="4" t="s">
        <v>2859</v>
      </c>
      <c r="AO105" s="4" t="s">
        <v>2859</v>
      </c>
      <c r="AP105" s="4" t="s">
        <v>2859</v>
      </c>
      <c r="AQ105" s="4" t="s">
        <v>2859</v>
      </c>
      <c r="AR105" s="4" t="s">
        <v>2859</v>
      </c>
      <c r="AS105" s="4" t="s">
        <v>2859</v>
      </c>
      <c r="AT105" s="4" t="s">
        <v>2859</v>
      </c>
      <c r="AU105" s="4" t="s">
        <v>2859</v>
      </c>
      <c r="AV105" s="4" t="s">
        <v>2859</v>
      </c>
      <c r="AW105" s="4" t="s">
        <v>2859</v>
      </c>
      <c r="AX105" s="4" t="s">
        <v>2859</v>
      </c>
      <c r="AY105" s="4" t="s">
        <v>2859</v>
      </c>
      <c r="AZ105" s="4" t="s">
        <v>2859</v>
      </c>
      <c r="BA105" s="4" t="s">
        <v>2859</v>
      </c>
      <c r="BB105" s="4" t="s">
        <v>2859</v>
      </c>
      <c r="BH105" s="4" t="s">
        <v>2859</v>
      </c>
      <c r="BI105" s="4" t="s">
        <v>2859</v>
      </c>
      <c r="BJ105" s="4" t="s">
        <v>2859</v>
      </c>
      <c r="BK105" s="4"/>
      <c r="BL105" s="4"/>
      <c r="BM105" s="4"/>
      <c r="BN105" s="4"/>
      <c r="BO105" s="4"/>
      <c r="BP105">
        <f t="shared" si="17"/>
        <v>0</v>
      </c>
      <c r="BR105" s="4" t="s">
        <v>2862</v>
      </c>
      <c r="BS105" t="s">
        <v>2863</v>
      </c>
      <c r="BT105" t="s">
        <v>2845</v>
      </c>
      <c r="BU105" t="s">
        <v>2846</v>
      </c>
      <c r="BX105" t="s">
        <v>2864</v>
      </c>
      <c r="CA105" t="s">
        <v>2863</v>
      </c>
      <c r="CB105" t="s">
        <v>2845</v>
      </c>
      <c r="CD105" s="4" t="s">
        <v>2865</v>
      </c>
      <c r="CE105" t="s">
        <v>2863</v>
      </c>
      <c r="CF105" t="s">
        <v>2845</v>
      </c>
      <c r="CG105" t="s">
        <v>2846</v>
      </c>
      <c r="CH105" t="s">
        <v>2863</v>
      </c>
      <c r="CI105" t="s">
        <v>2845</v>
      </c>
      <c r="CJ105" t="s">
        <v>2846</v>
      </c>
      <c r="CK105" t="s">
        <v>2866</v>
      </c>
    </row>
  </sheetData>
  <sortState xmlns:xlrd2="http://schemas.microsoft.com/office/spreadsheetml/2017/richdata2" ref="A1:AQ1">
    <sortCondition ref="A1"/>
  </sortState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b1b86c14-7a6f-495c-8ad3-202986669410}" enabled="1" method="Privileged" siteId="{2596038f-3ea4-4f0c-aed1-066eb6544c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Radiomics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Chae, Young</dc:creator>
  <cp:lastModifiedBy>jaeyoon lee</cp:lastModifiedBy>
  <dcterms:created xsi:type="dcterms:W3CDTF">2026-03-13T20:21:26Z</dcterms:created>
  <dcterms:modified xsi:type="dcterms:W3CDTF">2026-03-27T21:26:04Z</dcterms:modified>
</cp:coreProperties>
</file>